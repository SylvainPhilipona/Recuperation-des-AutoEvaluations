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JDT\"/>
    </mc:Choice>
  </mc:AlternateContent>
  <xr:revisionPtr revIDLastSave="0" documentId="13_ncr:1_{58F7E3DA-F387-4229-A8C8-72D05898697F}" xr6:coauthVersionLast="45" xr6:coauthVersionMax="47" xr10:uidLastSave="{00000000-0000-0000-0000-000000000000}"/>
  <bookViews>
    <workbookView xWindow="-289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9" i="171" l="1"/>
  <c r="D1" i="171" l="1"/>
  <c r="D25" i="171" s="1"/>
  <c r="D47" i="171" s="1"/>
  <c r="D70" i="171" s="1"/>
  <c r="D82" i="171" s="1"/>
  <c r="D101" i="171" s="1"/>
  <c r="D123" i="171" s="1"/>
  <c r="D142" i="171" s="1"/>
  <c r="D161" i="171" s="1"/>
  <c r="D180" i="171" s="1"/>
  <c r="B197" i="171"/>
  <c r="B178" i="171"/>
  <c r="B159" i="171"/>
  <c r="B140" i="171"/>
  <c r="B121" i="171"/>
  <c r="B80" i="171"/>
  <c r="B68" i="171"/>
  <c r="B45" i="171"/>
  <c r="B23" i="171"/>
  <c r="B18" i="154" l="1"/>
  <c r="B13" i="11" l="1"/>
</calcChain>
</file>

<file path=xl/sharedStrings.xml><?xml version="1.0" encoding="utf-8"?>
<sst xmlns="http://schemas.openxmlformats.org/spreadsheetml/2006/main" count="290" uniqueCount="104">
  <si>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</si>
  <si>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</si>
  <si>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</si>
  <si>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</si>
  <si>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</si>
  <si>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</si>
  <si>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</si>
  <si>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</si>
  <si>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</si>
  <si>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</si>
  <si>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</si>
  <si>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</si>
  <si>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</si>
  <si>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</si>
  <si>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</si>
  <si>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</si>
  <si>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</si>
  <si>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</si>
  <si>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</si>
  <si>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</si>
  <si>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</si>
  <si>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</si>
  <si>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</si>
  <si>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</si>
  <si>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</si>
  <si>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</si>
  <si>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</si>
  <si>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</si>
  <si>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</si>
  <si>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</si>
  <si>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</si>
  <si>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</si>
  <si>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</si>
  <si>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</si>
  <si>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</si>
  <si>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</si>
  <si>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</si>
  <si>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</si>
  <si>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</si>
  <si>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</si>
  <si>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</si>
  <si>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</si>
  <si>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</si>
  <si>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</si>
  <si>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</si>
  <si>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</si>
  <si>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</si>
  <si>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</si>
  <si>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</si>
  <si>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</si>
  <si>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</si>
  <si>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</si>
  <si>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</si>
  <si>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</si>
  <si>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</si>
  <si>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</si>
  <si>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</si>
  <si>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</si>
  <si>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</si>
  <si>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</si>
  <si>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</si>
  <si>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</si>
  <si>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</si>
  <si>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</si>
  <si>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</si>
  <si>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</si>
  <si>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</si>
  <si>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</si>
  <si>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</si>
  <si>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</si>
  <si>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</si>
  <si>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</si>
  <si>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</si>
  <si>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</si>
  <si>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</si>
  <si>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</si>
  <si>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</si>
  <si>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</si>
  <si>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</si>
  <si>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</si>
  <si>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</si>
  <si>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</si>
  <si>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</si>
  <si>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</si>
  <si>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</si>
  <si>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</si>
  <si>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</si>
  <si>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</si>
  <si>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</si>
  <si>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</si>
  <si>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</si>
  <si>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</si>
  <si>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</si>
  <si>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</si>
  <si>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</si>
  <si>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</si>
  <si>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Ajout des entêtes des fichiers de script
• Ajout du mode anavcé pour modifier les chemins
• Mise à jour du script de compilation avec des constantes</t>
  </si>
  <si>
    <t>•https://social.technet.microsoft.com/wiki/contents/articles/28746.powershell-gui-how-to-create-a-link-label-using-winforms.aspx
•https://stackoverflow.com/questions/7976646/powershell-store-entire-text-file-contents-in-variable</t>
  </si>
  <si>
    <t>• Test des scripts sur plusieurs machines de la classe + une VM</t>
  </si>
  <si>
    <t>• Documentations</t>
  </si>
  <si>
    <t>• Ajout des entêtes des fichiers de script
• Optimisation du mode avancé
• Ajout d'un fichier de constantes</t>
  </si>
  <si>
    <t>•https://stackoverflow.com/questions/68084565/powershell-wpf-boolean-resets-its-value-after-function
•https://powershellbyexample.dev/post/custom-object</t>
  </si>
  <si>
    <t>• Documentation utilisateur
• Rapport</t>
  </si>
  <si>
    <t>•https://www.starwindsoftware.com/blog/how-to-display-notifications-on-windows-10-using-powershell
•https://den.dev/blog/powershell-windows-notification/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</si>
</sst>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0" fillId="0" borderId="0" xfId="0" applyAlignment="1">
      <alignment horizontal="center"/>
    </xf>
    <xf numFmtId="14" fontId="9" fillId="0" borderId="0" xfId="0" applyNumberFormat="1" applyFont="1"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9"/>
  <sheetViews>
    <sheetView tabSelected="1" topLeftCell="A109" workbookViewId="0">
      <selection activeCell="F119" sqref="F119"/>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15"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2" t="s">
        <v>27</v>
      </c>
      <c r="B85" s="2">
        <v>24</v>
      </c>
      <c r="C85" s="10" t="s">
        <v>92</v>
      </c>
      <c r="D85" s="10"/>
    </row>
    <row r="86" spans="1:4" x14ac:dyDescent="0.25">
      <c r="A86" s="111"/>
      <c r="B86" s="112"/>
      <c r="C86" s="113" t="s">
        <v>53</v>
      </c>
      <c r="D86" s="114"/>
    </row>
    <row r="87" spans="1:4" x14ac:dyDescent="0.25">
      <c r="A87" s="1" t="s">
        <v>28</v>
      </c>
      <c r="B87" s="2">
        <v>2</v>
      </c>
      <c r="C87" s="10" t="s">
        <v>87</v>
      </c>
      <c r="D87" s="10"/>
    </row>
    <row r="88" spans="1:4" ht="27" x14ac:dyDescent="0.25">
      <c r="A88" s="1" t="s">
        <v>39</v>
      </c>
      <c r="B88" s="2">
        <v>12</v>
      </c>
      <c r="C88" s="10" t="s">
        <v>80</v>
      </c>
      <c r="D88" s="10"/>
    </row>
    <row r="89" spans="1:4" ht="140.25" x14ac:dyDescent="0.25">
      <c r="A89" s="1" t="s">
        <v>33</v>
      </c>
      <c r="B89" s="2">
        <v>13</v>
      </c>
      <c r="C89" s="10" t="s">
        <v>90</v>
      </c>
      <c r="D89" s="90" t="s">
        <v>91</v>
      </c>
    </row>
    <row r="90" spans="1:4" x14ac:dyDescent="0.25">
      <c r="A90" s="112"/>
      <c r="B90" s="112"/>
      <c r="C90" s="113" t="s">
        <v>54</v>
      </c>
      <c r="D90" s="114"/>
    </row>
    <row r="91" spans="1:4" ht="27" x14ac:dyDescent="0.25">
      <c r="A91" s="1" t="s">
        <v>39</v>
      </c>
      <c r="B91" s="2">
        <v>12</v>
      </c>
      <c r="C91" s="10" t="s">
        <v>80</v>
      </c>
      <c r="D91" s="10"/>
    </row>
    <row r="92" spans="1:4" x14ac:dyDescent="0.25">
      <c r="A92" s="112"/>
      <c r="B92" s="112"/>
      <c r="C92" s="113" t="s">
        <v>55</v>
      </c>
      <c r="D92" s="114"/>
    </row>
    <row r="93" spans="1:4" ht="27" x14ac:dyDescent="0.25">
      <c r="A93" s="1" t="s">
        <v>39</v>
      </c>
      <c r="B93" s="2">
        <v>26</v>
      </c>
      <c r="C93" s="10" t="s">
        <v>80</v>
      </c>
      <c r="D93" s="10"/>
    </row>
    <row r="94" spans="1:4" x14ac:dyDescent="0.25">
      <c r="A94" s="2" t="s">
        <v>25</v>
      </c>
      <c r="B94" s="2">
        <v>1</v>
      </c>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90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111"/>
      <c r="B103" s="112"/>
      <c r="C103" s="113" t="s">
        <v>52</v>
      </c>
      <c r="D103" s="114"/>
    </row>
    <row r="104" spans="1:4" x14ac:dyDescent="0.25">
      <c r="A104" s="1" t="s">
        <v>28</v>
      </c>
      <c r="B104" s="2">
        <v>3</v>
      </c>
      <c r="C104" s="10" t="s">
        <v>93</v>
      </c>
      <c r="D104" s="10"/>
    </row>
    <row r="105" spans="1:4" ht="54" x14ac:dyDescent="0.25">
      <c r="A105" s="1" t="s">
        <v>33</v>
      </c>
      <c r="B105" s="2">
        <v>15</v>
      </c>
      <c r="C105" s="115" t="s">
        <v>94</v>
      </c>
      <c r="D105" s="10"/>
    </row>
    <row r="106" spans="1:4" ht="40.5" x14ac:dyDescent="0.25">
      <c r="A106" s="1" t="s">
        <v>34</v>
      </c>
      <c r="B106" s="2">
        <v>6</v>
      </c>
      <c r="C106" s="115" t="s">
        <v>95</v>
      </c>
      <c r="D106" s="10"/>
    </row>
    <row r="107" spans="1:4" x14ac:dyDescent="0.25">
      <c r="A107" s="111"/>
      <c r="B107" s="112"/>
      <c r="C107" s="113" t="s">
        <v>53</v>
      </c>
      <c r="D107" s="114"/>
    </row>
    <row r="108" spans="1:4" ht="81" x14ac:dyDescent="0.25">
      <c r="A108" s="1" t="s">
        <v>33</v>
      </c>
      <c r="B108" s="2">
        <v>18</v>
      </c>
      <c r="C108" s="10" t="s">
        <v>96</v>
      </c>
      <c r="D108" s="10" t="s">
        <v>97</v>
      </c>
    </row>
    <row r="109" spans="1:4" ht="40.5" x14ac:dyDescent="0.25">
      <c r="A109" s="1" t="s">
        <v>34</v>
      </c>
      <c r="B109" s="2">
        <v>5</v>
      </c>
      <c r="C109" s="10" t="s">
        <v>98</v>
      </c>
      <c r="D109" s="10"/>
    </row>
    <row r="110" spans="1:4" ht="27" x14ac:dyDescent="0.25">
      <c r="A110" s="1" t="s">
        <v>39</v>
      </c>
      <c r="B110" s="2">
        <v>3</v>
      </c>
      <c r="C110" s="10" t="s">
        <v>99</v>
      </c>
      <c r="D110" s="10"/>
    </row>
    <row r="111" spans="1:4" x14ac:dyDescent="0.25">
      <c r="A111" s="1" t="s">
        <v>25</v>
      </c>
      <c r="B111" s="2">
        <v>1</v>
      </c>
      <c r="C111" s="10"/>
      <c r="D111" s="10"/>
    </row>
    <row r="112" spans="1:4" x14ac:dyDescent="0.25">
      <c r="A112" s="112"/>
      <c r="B112" s="112"/>
      <c r="C112" s="113" t="s">
        <v>54</v>
      </c>
      <c r="D112" s="114"/>
    </row>
    <row r="113" spans="1:4" ht="67.5" x14ac:dyDescent="0.25">
      <c r="A113" s="1" t="s">
        <v>33</v>
      </c>
      <c r="B113" s="2">
        <v>11</v>
      </c>
      <c r="C113" s="10" t="s">
        <v>100</v>
      </c>
      <c r="D113" s="10" t="s">
        <v>101</v>
      </c>
    </row>
    <row r="114" spans="1:4" x14ac:dyDescent="0.25">
      <c r="A114" s="2" t="s">
        <v>25</v>
      </c>
      <c r="B114" s="2">
        <v>1</v>
      </c>
      <c r="C114" s="10"/>
      <c r="D114" s="10"/>
    </row>
    <row r="115" spans="1:4" x14ac:dyDescent="0.25">
      <c r="A115" s="112"/>
      <c r="B115" s="112"/>
      <c r="C115" s="113" t="s">
        <v>55</v>
      </c>
      <c r="D115" s="114"/>
    </row>
    <row r="116" spans="1:4" ht="40.5" x14ac:dyDescent="0.25">
      <c r="A116" s="2" t="s">
        <v>34</v>
      </c>
      <c r="B116" s="2">
        <v>3</v>
      </c>
      <c r="C116" s="10" t="s">
        <v>98</v>
      </c>
      <c r="D116" s="10"/>
    </row>
    <row r="117" spans="1:4" ht="27" x14ac:dyDescent="0.25">
      <c r="A117" s="51" t="s">
        <v>39</v>
      </c>
      <c r="B117" s="51">
        <v>24</v>
      </c>
      <c r="C117" s="52" t="s">
        <v>102</v>
      </c>
      <c r="D117" s="52"/>
    </row>
    <row r="118" spans="1:4" x14ac:dyDescent="0.25">
      <c r="A118" s="51"/>
      <c r="B118" s="51"/>
      <c r="C118" s="52"/>
      <c r="D118" s="52"/>
    </row>
    <row r="119" spans="1:4" x14ac:dyDescent="0.25">
      <c r="A119" s="51"/>
      <c r="B119" s="51"/>
      <c r="C119" s="52"/>
      <c r="D119" s="52"/>
    </row>
    <row r="120" spans="1:4" ht="14.25" thickBot="1" x14ac:dyDescent="0.3">
      <c r="A120" s="3"/>
      <c r="B120" s="3"/>
      <c r="C120" s="11"/>
      <c r="D120" s="11"/>
    </row>
    <row r="121" spans="1:4" ht="14.25" thickBot="1" x14ac:dyDescent="0.3">
      <c r="A121" s="48" t="s">
        <v>21</v>
      </c>
      <c r="B121" s="48">
        <f>SUM(B103:B120)</f>
        <v>90</v>
      </c>
      <c r="C121" s="89" t="s">
        <v>51</v>
      </c>
      <c r="D121" s="49"/>
    </row>
    <row r="122" spans="1:4" ht="15" thickBot="1" x14ac:dyDescent="0.35">
      <c r="A122" s="50"/>
      <c r="B122" s="50"/>
      <c r="C122" s="50"/>
      <c r="D122" s="50"/>
    </row>
    <row r="123" spans="1:4" ht="18.75" thickBot="1" x14ac:dyDescent="0.3">
      <c r="A123" s="43" t="s">
        <v>13</v>
      </c>
      <c r="B123" s="44">
        <v>7</v>
      </c>
      <c r="C123" s="45" t="s">
        <v>22</v>
      </c>
      <c r="D123" s="54">
        <f>$D$101+7</f>
        <v>44991</v>
      </c>
    </row>
    <row r="124" spans="1:4" ht="27.75" thickBot="1" x14ac:dyDescent="0.3">
      <c r="A124" s="46" t="s">
        <v>2</v>
      </c>
      <c r="B124" s="47" t="s">
        <v>14</v>
      </c>
      <c r="C124" s="46" t="s">
        <v>6</v>
      </c>
      <c r="D124" s="46" t="s">
        <v>12</v>
      </c>
    </row>
    <row r="125" spans="1:4" ht="67.5" x14ac:dyDescent="0.25">
      <c r="A125" s="51" t="s">
        <v>39</v>
      </c>
      <c r="B125" s="4"/>
      <c r="C125" s="9"/>
      <c r="D125" s="10" t="s">
        <v>103</v>
      </c>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2"/>
      <c r="B134" s="2"/>
      <c r="C134" s="10"/>
      <c r="D134" s="10"/>
    </row>
    <row r="135" spans="1:4" x14ac:dyDescent="0.25">
      <c r="A135" s="2"/>
      <c r="B135" s="2"/>
      <c r="C135" s="10"/>
      <c r="D135" s="10"/>
    </row>
    <row r="136" spans="1:4" x14ac:dyDescent="0.25">
      <c r="A136" s="2"/>
      <c r="B136" s="2"/>
      <c r="C136" s="10"/>
      <c r="D136" s="10"/>
    </row>
    <row r="137" spans="1:4" x14ac:dyDescent="0.25">
      <c r="A137" s="51"/>
      <c r="B137" s="51"/>
      <c r="C137" s="52"/>
      <c r="D137" s="52"/>
    </row>
    <row r="138" spans="1:4" x14ac:dyDescent="0.25">
      <c r="A138" s="51"/>
      <c r="B138" s="51"/>
      <c r="C138" s="52"/>
      <c r="D138" s="52"/>
    </row>
    <row r="139" spans="1:4" ht="14.25" thickBot="1" x14ac:dyDescent="0.3">
      <c r="A139" s="3"/>
      <c r="B139" s="3"/>
      <c r="C139" s="11"/>
      <c r="D139" s="11"/>
    </row>
    <row r="140" spans="1:4" ht="14.25" thickBot="1" x14ac:dyDescent="0.3">
      <c r="A140" s="48" t="s">
        <v>21</v>
      </c>
      <c r="B140" s="48">
        <f>SUM(B125:B139)</f>
        <v>0</v>
      </c>
      <c r="C140" s="89" t="s">
        <v>51</v>
      </c>
      <c r="D140" s="49"/>
    </row>
    <row r="141" spans="1:4" ht="15" thickBot="1" x14ac:dyDescent="0.35">
      <c r="A141" s="50"/>
      <c r="B141" s="50"/>
      <c r="C141" s="50"/>
      <c r="D141" s="50"/>
    </row>
    <row r="142" spans="1:4" ht="18.75" thickBot="1" x14ac:dyDescent="0.3">
      <c r="A142" s="43" t="s">
        <v>13</v>
      </c>
      <c r="B142" s="44">
        <v>8</v>
      </c>
      <c r="C142" s="45" t="s">
        <v>22</v>
      </c>
      <c r="D142" s="54">
        <f>$D$123+7</f>
        <v>44998</v>
      </c>
    </row>
    <row r="143" spans="1:4" ht="27.75" thickBot="1" x14ac:dyDescent="0.3">
      <c r="A143" s="46" t="s">
        <v>2</v>
      </c>
      <c r="B143" s="47" t="s">
        <v>14</v>
      </c>
      <c r="C143" s="46" t="s">
        <v>6</v>
      </c>
      <c r="D143" s="46" t="s">
        <v>12</v>
      </c>
    </row>
    <row r="144" spans="1:4" x14ac:dyDescent="0.25">
      <c r="A144" s="5"/>
      <c r="B144" s="4"/>
      <c r="C144" s="9"/>
      <c r="D144" s="9"/>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1"/>
      <c r="B150" s="2"/>
      <c r="C150" s="10"/>
      <c r="D150" s="10"/>
    </row>
    <row r="151" spans="1:4" x14ac:dyDescent="0.25">
      <c r="A151" s="1"/>
      <c r="B151" s="2"/>
      <c r="C151" s="10"/>
      <c r="D151" s="10"/>
    </row>
    <row r="152" spans="1:4" x14ac:dyDescent="0.25">
      <c r="A152" s="1"/>
      <c r="B152" s="2"/>
      <c r="C152" s="10"/>
      <c r="D152" s="10"/>
    </row>
    <row r="153" spans="1:4" x14ac:dyDescent="0.25">
      <c r="A153" s="2"/>
      <c r="B153" s="2"/>
      <c r="C153" s="10"/>
      <c r="D153" s="10"/>
    </row>
    <row r="154" spans="1:4" x14ac:dyDescent="0.25">
      <c r="A154" s="2"/>
      <c r="B154" s="2"/>
      <c r="C154" s="10"/>
      <c r="D154" s="10"/>
    </row>
    <row r="155" spans="1:4" x14ac:dyDescent="0.25">
      <c r="A155" s="2"/>
      <c r="B155" s="2"/>
      <c r="C155" s="10"/>
      <c r="D155" s="10"/>
    </row>
    <row r="156" spans="1:4" x14ac:dyDescent="0.25">
      <c r="A156" s="51"/>
      <c r="B156" s="51"/>
      <c r="C156" s="52"/>
      <c r="D156" s="52"/>
    </row>
    <row r="157" spans="1:4" x14ac:dyDescent="0.25">
      <c r="A157" s="51"/>
      <c r="B157" s="51"/>
      <c r="C157" s="52"/>
      <c r="D157" s="52"/>
    </row>
    <row r="158" spans="1:4" ht="14.25" thickBot="1" x14ac:dyDescent="0.3">
      <c r="A158" s="3"/>
      <c r="B158" s="3"/>
      <c r="C158" s="11"/>
      <c r="D158" s="11"/>
    </row>
    <row r="159" spans="1:4" ht="14.25" thickBot="1" x14ac:dyDescent="0.3">
      <c r="A159" s="48" t="s">
        <v>21</v>
      </c>
      <c r="B159" s="48">
        <f>SUM(B144:B158)</f>
        <v>0</v>
      </c>
      <c r="C159" s="89" t="s">
        <v>51</v>
      </c>
      <c r="D159" s="49"/>
    </row>
    <row r="160" spans="1:4" ht="15" thickBot="1" x14ac:dyDescent="0.35">
      <c r="A160" s="50"/>
      <c r="B160" s="50"/>
      <c r="C160" s="50"/>
      <c r="D160" s="50"/>
    </row>
    <row r="161" spans="1:4" ht="18.75" thickBot="1" x14ac:dyDescent="0.3">
      <c r="A161" s="43" t="s">
        <v>13</v>
      </c>
      <c r="B161" s="44">
        <v>9</v>
      </c>
      <c r="C161" s="45" t="s">
        <v>22</v>
      </c>
      <c r="D161" s="54">
        <f>$D$142+7</f>
        <v>45005</v>
      </c>
    </row>
    <row r="162" spans="1:4" ht="27.75" thickBot="1" x14ac:dyDescent="0.3">
      <c r="A162" s="46" t="s">
        <v>2</v>
      </c>
      <c r="B162" s="47" t="s">
        <v>14</v>
      </c>
      <c r="C162" s="46" t="s">
        <v>6</v>
      </c>
      <c r="D162" s="46" t="s">
        <v>12</v>
      </c>
    </row>
    <row r="163" spans="1:4" x14ac:dyDescent="0.25">
      <c r="A163" s="5"/>
      <c r="B163" s="4"/>
      <c r="C163" s="9"/>
      <c r="D163" s="9"/>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1"/>
      <c r="B169" s="2"/>
      <c r="C169" s="10"/>
      <c r="D169" s="10"/>
    </row>
    <row r="170" spans="1:4" x14ac:dyDescent="0.25">
      <c r="A170" s="1"/>
      <c r="B170" s="2"/>
      <c r="C170" s="10"/>
      <c r="D170" s="10"/>
    </row>
    <row r="171" spans="1:4" x14ac:dyDescent="0.25">
      <c r="A171" s="1"/>
      <c r="B171" s="2"/>
      <c r="C171" s="10"/>
      <c r="D171" s="10"/>
    </row>
    <row r="172" spans="1:4" x14ac:dyDescent="0.25">
      <c r="A172" s="2"/>
      <c r="B172" s="2"/>
      <c r="C172" s="10"/>
      <c r="D172" s="10"/>
    </row>
    <row r="173" spans="1:4" x14ac:dyDescent="0.25">
      <c r="A173" s="2"/>
      <c r="B173" s="2"/>
      <c r="C173" s="10"/>
      <c r="D173" s="10"/>
    </row>
    <row r="174" spans="1:4" x14ac:dyDescent="0.25">
      <c r="A174" s="2"/>
      <c r="B174" s="2"/>
      <c r="C174" s="10"/>
      <c r="D174" s="10"/>
    </row>
    <row r="175" spans="1:4" x14ac:dyDescent="0.25">
      <c r="A175" s="51"/>
      <c r="B175" s="51"/>
      <c r="C175" s="52"/>
      <c r="D175" s="52"/>
    </row>
    <row r="176" spans="1:4" x14ac:dyDescent="0.25">
      <c r="A176" s="51"/>
      <c r="B176" s="51"/>
      <c r="C176" s="52"/>
      <c r="D176" s="52"/>
    </row>
    <row r="177" spans="1:4" ht="14.25" thickBot="1" x14ac:dyDescent="0.3">
      <c r="A177" s="3"/>
      <c r="B177" s="3"/>
      <c r="C177" s="11"/>
      <c r="D177" s="11"/>
    </row>
    <row r="178" spans="1:4" ht="14.25" thickBot="1" x14ac:dyDescent="0.3">
      <c r="A178" s="48" t="s">
        <v>21</v>
      </c>
      <c r="B178" s="48">
        <f>SUM(B163:B177)</f>
        <v>0</v>
      </c>
      <c r="C178" s="89" t="s">
        <v>51</v>
      </c>
      <c r="D178" s="49"/>
    </row>
    <row r="179" spans="1:4" ht="15" thickBot="1" x14ac:dyDescent="0.35">
      <c r="A179" s="50"/>
      <c r="B179" s="50"/>
      <c r="C179" s="50"/>
      <c r="D179" s="50"/>
    </row>
    <row r="180" spans="1:4" ht="18.75" thickBot="1" x14ac:dyDescent="0.3">
      <c r="A180" s="43" t="s">
        <v>13</v>
      </c>
      <c r="B180" s="44">
        <v>10</v>
      </c>
      <c r="C180" s="45" t="s">
        <v>22</v>
      </c>
      <c r="D180" s="54">
        <f>$D$161+7</f>
        <v>45012</v>
      </c>
    </row>
    <row r="181" spans="1:4" ht="27.75" thickBot="1" x14ac:dyDescent="0.3">
      <c r="A181" s="46" t="s">
        <v>2</v>
      </c>
      <c r="B181" s="47" t="s">
        <v>14</v>
      </c>
      <c r="C181" s="46" t="s">
        <v>6</v>
      </c>
      <c r="D181" s="46" t="s">
        <v>12</v>
      </c>
    </row>
    <row r="182" spans="1:4" x14ac:dyDescent="0.25">
      <c r="A182" s="5"/>
      <c r="B182" s="4"/>
      <c r="C182" s="9"/>
      <c r="D182" s="9"/>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2"/>
      <c r="B191" s="2"/>
      <c r="C191" s="10"/>
      <c r="D191" s="10"/>
    </row>
    <row r="192" spans="1:4" x14ac:dyDescent="0.25">
      <c r="A192" s="2"/>
      <c r="B192" s="2"/>
      <c r="C192" s="10"/>
      <c r="D192" s="10"/>
    </row>
    <row r="193" spans="1:4" x14ac:dyDescent="0.25">
      <c r="A193" s="2"/>
      <c r="B193" s="2"/>
      <c r="C193" s="10"/>
      <c r="D193" s="10"/>
    </row>
    <row r="194" spans="1:4" x14ac:dyDescent="0.25">
      <c r="A194" s="51"/>
      <c r="B194" s="51"/>
      <c r="C194" s="52"/>
      <c r="D194" s="52"/>
    </row>
    <row r="195" spans="1:4" x14ac:dyDescent="0.25">
      <c r="A195" s="51"/>
      <c r="B195" s="51"/>
      <c r="C195" s="52"/>
      <c r="D195" s="52"/>
    </row>
    <row r="196" spans="1:4" ht="14.25" thickBot="1" x14ac:dyDescent="0.3">
      <c r="A196" s="3"/>
      <c r="B196" s="3"/>
      <c r="C196" s="11"/>
      <c r="D196" s="11"/>
    </row>
    <row r="197" spans="1:4" ht="14.25" thickBot="1" x14ac:dyDescent="0.3">
      <c r="A197" s="48" t="s">
        <v>21</v>
      </c>
      <c r="B197" s="48">
        <f>SUM(B182:B196)</f>
        <v>0</v>
      </c>
      <c r="C197" s="89" t="s">
        <v>51</v>
      </c>
      <c r="D197" s="49"/>
    </row>
    <row r="198" spans="1:4" ht="14.25" x14ac:dyDescent="0.3">
      <c r="A198" s="50"/>
      <c r="B198" s="50"/>
      <c r="C198" s="50"/>
      <c r="D198" s="50"/>
    </row>
    <row r="199" spans="1:4" x14ac:dyDescent="0.25">
      <c r="A199"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84:B98 B125:B139 B144:B158 B163:B177 B182:B196 B3:B22 B27:B41 B72:B79 B103:B120"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21 B140 B159 B178 B197" xr:uid="{AC09EF01-5E22-4EA1-BB83-D8349F85B499}">
      <formula1>0</formula1>
      <formula2>NbPerWeek * NbQuartPer</formula2>
    </dataValidation>
    <dataValidation type="list" allowBlank="1" showInputMessage="1" showErrorMessage="1" sqref="A27:A44 A49:A67 A84:A98 A103:A120 A144:A158 A163:A177 A182:A196 A3:A22 B42 A72:A79 A125:A139"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9"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AB21" sqref="AB21"/>
    </sheetView>
  </sheetViews>
  <sheetFormatPr baseColWidth="10" defaultRowHeight="13.5" x14ac:dyDescent="0.25"/>
  <cols>
    <col min="2" max="2" width="31" customWidth="1"/>
    <col min="3" max="38" width="3.7109375" customWidth="1"/>
    <col min="39" max="40" width="11.42578125" customWidth="1"/>
  </cols>
  <sheetData>
    <row r="2" spans="2:38" x14ac:dyDescent="0.25">
      <c r="C2" s="125">
        <v>44949</v>
      </c>
      <c r="D2" s="125"/>
      <c r="E2" s="125"/>
      <c r="F2" s="125"/>
      <c r="G2" s="125">
        <v>44956</v>
      </c>
      <c r="H2" s="125"/>
      <c r="I2" s="125"/>
      <c r="J2" s="125"/>
      <c r="K2" s="125">
        <v>44963</v>
      </c>
      <c r="L2" s="125"/>
      <c r="M2" s="125"/>
      <c r="N2" s="125"/>
      <c r="O2" s="125">
        <v>44970</v>
      </c>
      <c r="P2" s="125"/>
      <c r="Q2" s="125"/>
      <c r="R2" s="125"/>
      <c r="S2" s="125">
        <v>44977</v>
      </c>
      <c r="T2" s="125"/>
      <c r="U2" s="125"/>
      <c r="V2" s="125"/>
      <c r="W2" s="125">
        <v>44984</v>
      </c>
      <c r="X2" s="125"/>
      <c r="Y2" s="125"/>
      <c r="Z2" s="125"/>
      <c r="AA2" s="125">
        <v>44991</v>
      </c>
      <c r="AB2" s="125"/>
      <c r="AC2" s="125"/>
      <c r="AD2" s="125"/>
      <c r="AE2" s="125">
        <v>44998</v>
      </c>
      <c r="AF2" s="125"/>
      <c r="AG2" s="125"/>
      <c r="AH2" s="125"/>
      <c r="AI2" s="125">
        <v>45005</v>
      </c>
      <c r="AJ2" s="125"/>
      <c r="AK2" s="125"/>
      <c r="AL2" s="125"/>
    </row>
    <row r="3" spans="2:38" ht="14.25" thickBot="1" x14ac:dyDescent="0.3">
      <c r="C3" s="124" t="s">
        <v>41</v>
      </c>
      <c r="D3" s="124"/>
      <c r="E3" s="124"/>
      <c r="F3" s="124"/>
      <c r="G3" s="124" t="s">
        <v>42</v>
      </c>
      <c r="H3" s="124"/>
      <c r="I3" s="124"/>
      <c r="J3" s="124"/>
      <c r="K3" s="124" t="s">
        <v>43</v>
      </c>
      <c r="L3" s="124"/>
      <c r="M3" s="124"/>
      <c r="N3" s="124"/>
      <c r="O3" s="124" t="s">
        <v>44</v>
      </c>
      <c r="P3" s="124"/>
      <c r="Q3" s="124"/>
      <c r="R3" s="124"/>
      <c r="S3" s="124" t="s">
        <v>45</v>
      </c>
      <c r="T3" s="124"/>
      <c r="U3" s="124"/>
      <c r="V3" s="124"/>
      <c r="W3" s="124" t="s">
        <v>46</v>
      </c>
      <c r="X3" s="124"/>
      <c r="Y3" s="124"/>
      <c r="Z3" s="124"/>
      <c r="AA3" s="124" t="s">
        <v>47</v>
      </c>
      <c r="AB3" s="124"/>
      <c r="AC3" s="124"/>
      <c r="AD3" s="124"/>
      <c r="AE3" s="124" t="s">
        <v>48</v>
      </c>
      <c r="AF3" s="124"/>
      <c r="AG3" s="124"/>
      <c r="AH3" s="124"/>
      <c r="AI3" s="124" t="s">
        <v>49</v>
      </c>
      <c r="AJ3" s="124"/>
      <c r="AK3" s="124"/>
      <c r="AL3" s="124"/>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W2:Z2"/>
    <mergeCell ref="AE2:AH2"/>
    <mergeCell ref="AI2:AL2"/>
    <mergeCell ref="W3:Z3"/>
    <mergeCell ref="AA3:AD3"/>
    <mergeCell ref="AE3:AH3"/>
    <mergeCell ref="AI3:AL3"/>
    <mergeCell ref="AA2:AD2"/>
    <mergeCell ref="S3:V3"/>
    <mergeCell ref="C3:F3"/>
    <mergeCell ref="C2:F2"/>
    <mergeCell ref="G3:J3"/>
    <mergeCell ref="K3:N3"/>
    <mergeCell ref="O3:R3"/>
    <mergeCell ref="G2:J2"/>
    <mergeCell ref="K2:N2"/>
    <mergeCell ref="O2:R2"/>
    <mergeCell ref="S2:V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9CA8D3-86C8-4C18-8AF8-8AB81EA1809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2023-03-06T09:06:02Z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