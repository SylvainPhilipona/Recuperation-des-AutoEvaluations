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
    </mc:Choice>
  </mc:AlternateContent>
  <xr:revisionPtr revIDLastSave="0" documentId="13_ncr:1_{6CE0BED6-2463-41FD-932B-0E6CF52BC238}" xr6:coauthVersionLast="45"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71" l="1"/>
  <c r="D25" i="171" s="1"/>
  <c r="D47" i="171" s="1"/>
  <c r="D70" i="171" s="1"/>
  <c r="D82" i="171" s="1"/>
  <c r="D101" i="171" s="1"/>
  <c r="D120" i="171" s="1"/>
  <c r="D139" i="171" s="1"/>
  <c r="D158" i="171" s="1"/>
  <c r="D177" i="171" s="1"/>
  <c r="B194" i="171"/>
  <c r="B175" i="171"/>
  <c r="B156" i="171"/>
  <c r="B137" i="171"/>
  <c r="B118" i="171"/>
  <c r="B99" i="171"/>
  <c r="B80" i="171"/>
  <c r="B68" i="171"/>
  <c r="B45" i="171"/>
  <c r="B23" i="171"/>
  <c r="B18" i="154" l="1"/>
  <c r="B13" i="11" l="1"/>
</calcChain>
</file>

<file path=xl/sharedStrings.xml><?xml version="1.0" encoding="utf-8"?>
<sst xmlns="http://schemas.openxmlformats.org/spreadsheetml/2006/main" count="251" uniqueCount="92">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</sst>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14" fontId="9" fillId="0" borderId="0" xfId="0" applyNumberFormat="1" applyFont="1" applyAlignment="1">
      <alignment horizontal="center"/>
    </xf>
    <xf numFmtId="0" fontId="0" fillId="0" borderId="0" xfId="0"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6"/>
  <sheetViews>
    <sheetView tabSelected="1" topLeftCell="A76" workbookViewId="0">
      <selection activeCell="B88" sqref="B8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0"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1" t="s">
        <v>28</v>
      </c>
      <c r="B85" s="2">
        <v>2</v>
      </c>
      <c r="C85" s="10" t="s">
        <v>87</v>
      </c>
      <c r="D85" s="10"/>
    </row>
    <row r="86" spans="1:4" ht="27" x14ac:dyDescent="0.25">
      <c r="A86" s="1" t="s">
        <v>39</v>
      </c>
      <c r="B86" s="2">
        <v>9</v>
      </c>
      <c r="C86" s="10"/>
      <c r="D86" s="10"/>
    </row>
    <row r="87" spans="1:4" ht="140.25" x14ac:dyDescent="0.25">
      <c r="A87" s="1" t="s">
        <v>33</v>
      </c>
      <c r="B87" s="2">
        <v>13</v>
      </c>
      <c r="C87" s="10" t="s">
        <v>90</v>
      </c>
      <c r="D87" s="90" t="s">
        <v>91</v>
      </c>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24</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5"/>
      <c r="B103" s="4"/>
      <c r="C103" s="9"/>
      <c r="D103" s="9"/>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1"/>
      <c r="B107" s="2"/>
      <c r="C107" s="10"/>
      <c r="D107" s="10"/>
    </row>
    <row r="108" spans="1:4" x14ac:dyDescent="0.25">
      <c r="A108" s="1"/>
      <c r="B108" s="2"/>
      <c r="C108" s="10"/>
      <c r="D108" s="10"/>
    </row>
    <row r="109" spans="1:4" x14ac:dyDescent="0.25">
      <c r="A109" s="1"/>
      <c r="B109" s="2"/>
      <c r="C109" s="10"/>
      <c r="D109" s="10"/>
    </row>
    <row r="110" spans="1:4" x14ac:dyDescent="0.25">
      <c r="A110" s="1"/>
      <c r="B110" s="2"/>
      <c r="C110" s="10"/>
      <c r="D110" s="10"/>
    </row>
    <row r="111" spans="1:4" x14ac:dyDescent="0.25">
      <c r="A111" s="1"/>
      <c r="B111" s="2"/>
      <c r="C111" s="10"/>
      <c r="D111" s="10"/>
    </row>
    <row r="112" spans="1:4" x14ac:dyDescent="0.25">
      <c r="A112" s="2"/>
      <c r="B112" s="2"/>
      <c r="C112" s="10"/>
      <c r="D112" s="10"/>
    </row>
    <row r="113" spans="1:4" x14ac:dyDescent="0.25">
      <c r="A113" s="2"/>
      <c r="B113" s="2"/>
      <c r="C113" s="10"/>
      <c r="D113" s="10"/>
    </row>
    <row r="114" spans="1:4" x14ac:dyDescent="0.25">
      <c r="A114" s="2"/>
      <c r="B114" s="2"/>
      <c r="C114" s="10"/>
      <c r="D114" s="10"/>
    </row>
    <row r="115" spans="1:4" x14ac:dyDescent="0.25">
      <c r="A115" s="51"/>
      <c r="B115" s="51"/>
      <c r="C115" s="52"/>
      <c r="D115" s="52"/>
    </row>
    <row r="116" spans="1:4" x14ac:dyDescent="0.25">
      <c r="A116" s="51"/>
      <c r="B116" s="51"/>
      <c r="C116" s="52"/>
      <c r="D116" s="52"/>
    </row>
    <row r="117" spans="1:4" ht="14.25" thickBot="1" x14ac:dyDescent="0.3">
      <c r="A117" s="3"/>
      <c r="B117" s="3"/>
      <c r="C117" s="11"/>
      <c r="D117" s="11"/>
    </row>
    <row r="118" spans="1:4" ht="14.25" thickBot="1" x14ac:dyDescent="0.3">
      <c r="A118" s="48" t="s">
        <v>21</v>
      </c>
      <c r="B118" s="48">
        <f>SUM(B103:B117)</f>
        <v>0</v>
      </c>
      <c r="C118" s="89" t="s">
        <v>51</v>
      </c>
      <c r="D118" s="49"/>
    </row>
    <row r="119" spans="1:4" ht="15" thickBot="1" x14ac:dyDescent="0.35">
      <c r="A119" s="50"/>
      <c r="B119" s="50"/>
      <c r="C119" s="50"/>
      <c r="D119" s="50"/>
    </row>
    <row r="120" spans="1:4" ht="18.75" thickBot="1" x14ac:dyDescent="0.3">
      <c r="A120" s="43" t="s">
        <v>13</v>
      </c>
      <c r="B120" s="44">
        <v>7</v>
      </c>
      <c r="C120" s="45" t="s">
        <v>22</v>
      </c>
      <c r="D120" s="54">
        <f>$D$101+7</f>
        <v>44991</v>
      </c>
    </row>
    <row r="121" spans="1:4" ht="27.75" thickBot="1" x14ac:dyDescent="0.3">
      <c r="A121" s="46" t="s">
        <v>2</v>
      </c>
      <c r="B121" s="47" t="s">
        <v>14</v>
      </c>
      <c r="C121" s="46" t="s">
        <v>6</v>
      </c>
      <c r="D121" s="46" t="s">
        <v>12</v>
      </c>
    </row>
    <row r="122" spans="1:4" x14ac:dyDescent="0.25">
      <c r="A122" s="5"/>
      <c r="B122" s="4"/>
      <c r="C122" s="9"/>
      <c r="D122" s="9"/>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2"/>
      <c r="B131" s="2"/>
      <c r="C131" s="10"/>
      <c r="D131" s="10"/>
    </row>
    <row r="132" spans="1:4" x14ac:dyDescent="0.25">
      <c r="A132" s="2"/>
      <c r="B132" s="2"/>
      <c r="C132" s="10"/>
      <c r="D132" s="10"/>
    </row>
    <row r="133" spans="1:4" x14ac:dyDescent="0.25">
      <c r="A133" s="2"/>
      <c r="B133" s="2"/>
      <c r="C133" s="10"/>
      <c r="D133" s="10"/>
    </row>
    <row r="134" spans="1:4" x14ac:dyDescent="0.25">
      <c r="A134" s="51"/>
      <c r="B134" s="51"/>
      <c r="C134" s="52"/>
      <c r="D134" s="52"/>
    </row>
    <row r="135" spans="1:4" x14ac:dyDescent="0.25">
      <c r="A135" s="51"/>
      <c r="B135" s="51"/>
      <c r="C135" s="52"/>
      <c r="D135" s="52"/>
    </row>
    <row r="136" spans="1:4" ht="14.25" thickBot="1" x14ac:dyDescent="0.3">
      <c r="A136" s="3"/>
      <c r="B136" s="3"/>
      <c r="C136" s="11"/>
      <c r="D136" s="11"/>
    </row>
    <row r="137" spans="1:4" ht="14.25" thickBot="1" x14ac:dyDescent="0.3">
      <c r="A137" s="48" t="s">
        <v>21</v>
      </c>
      <c r="B137" s="48">
        <f>SUM(B122:B136)</f>
        <v>0</v>
      </c>
      <c r="C137" s="89" t="s">
        <v>51</v>
      </c>
      <c r="D137" s="49"/>
    </row>
    <row r="138" spans="1:4" ht="15" thickBot="1" x14ac:dyDescent="0.35">
      <c r="A138" s="50"/>
      <c r="B138" s="50"/>
      <c r="C138" s="50"/>
      <c r="D138" s="50"/>
    </row>
    <row r="139" spans="1:4" ht="18.75" thickBot="1" x14ac:dyDescent="0.3">
      <c r="A139" s="43" t="s">
        <v>13</v>
      </c>
      <c r="B139" s="44">
        <v>8</v>
      </c>
      <c r="C139" s="45" t="s">
        <v>22</v>
      </c>
      <c r="D139" s="54">
        <f>$D$120+7</f>
        <v>44998</v>
      </c>
    </row>
    <row r="140" spans="1:4" ht="27.75" thickBot="1" x14ac:dyDescent="0.3">
      <c r="A140" s="46" t="s">
        <v>2</v>
      </c>
      <c r="B140" s="47" t="s">
        <v>14</v>
      </c>
      <c r="C140" s="46" t="s">
        <v>6</v>
      </c>
      <c r="D140" s="46" t="s">
        <v>12</v>
      </c>
    </row>
    <row r="141" spans="1:4" x14ac:dyDescent="0.25">
      <c r="A141" s="5"/>
      <c r="B141" s="4"/>
      <c r="C141" s="9"/>
      <c r="D141" s="9"/>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2"/>
      <c r="B150" s="2"/>
      <c r="C150" s="10"/>
      <c r="D150" s="10"/>
    </row>
    <row r="151" spans="1:4" x14ac:dyDescent="0.25">
      <c r="A151" s="2"/>
      <c r="B151" s="2"/>
      <c r="C151" s="10"/>
      <c r="D151" s="10"/>
    </row>
    <row r="152" spans="1:4" x14ac:dyDescent="0.25">
      <c r="A152" s="2"/>
      <c r="B152" s="2"/>
      <c r="C152" s="10"/>
      <c r="D152" s="10"/>
    </row>
    <row r="153" spans="1:4" x14ac:dyDescent="0.25">
      <c r="A153" s="51"/>
      <c r="B153" s="51"/>
      <c r="C153" s="52"/>
      <c r="D153" s="52"/>
    </row>
    <row r="154" spans="1:4" x14ac:dyDescent="0.25">
      <c r="A154" s="51"/>
      <c r="B154" s="51"/>
      <c r="C154" s="52"/>
      <c r="D154" s="52"/>
    </row>
    <row r="155" spans="1:4" ht="14.25" thickBot="1" x14ac:dyDescent="0.3">
      <c r="A155" s="3"/>
      <c r="B155" s="3"/>
      <c r="C155" s="11"/>
      <c r="D155" s="11"/>
    </row>
    <row r="156" spans="1:4" ht="14.25" thickBot="1" x14ac:dyDescent="0.3">
      <c r="A156" s="48" t="s">
        <v>21</v>
      </c>
      <c r="B156" s="48">
        <f>SUM(B141:B155)</f>
        <v>0</v>
      </c>
      <c r="C156" s="89" t="s">
        <v>51</v>
      </c>
      <c r="D156" s="49"/>
    </row>
    <row r="157" spans="1:4" ht="15" thickBot="1" x14ac:dyDescent="0.35">
      <c r="A157" s="50"/>
      <c r="B157" s="50"/>
      <c r="C157" s="50"/>
      <c r="D157" s="50"/>
    </row>
    <row r="158" spans="1:4" ht="18.75" thickBot="1" x14ac:dyDescent="0.3">
      <c r="A158" s="43" t="s">
        <v>13</v>
      </c>
      <c r="B158" s="44">
        <v>9</v>
      </c>
      <c r="C158" s="45" t="s">
        <v>22</v>
      </c>
      <c r="D158" s="54">
        <f>$D$139+7</f>
        <v>45005</v>
      </c>
    </row>
    <row r="159" spans="1:4" ht="27.75" thickBot="1" x14ac:dyDescent="0.3">
      <c r="A159" s="46" t="s">
        <v>2</v>
      </c>
      <c r="B159" s="47" t="s">
        <v>14</v>
      </c>
      <c r="C159" s="46" t="s">
        <v>6</v>
      </c>
      <c r="D159" s="46" t="s">
        <v>12</v>
      </c>
    </row>
    <row r="160" spans="1:4" x14ac:dyDescent="0.25">
      <c r="A160" s="5"/>
      <c r="B160" s="4"/>
      <c r="C160" s="9"/>
      <c r="D160" s="9"/>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2"/>
      <c r="B169" s="2"/>
      <c r="C169" s="10"/>
      <c r="D169" s="10"/>
    </row>
    <row r="170" spans="1:4" x14ac:dyDescent="0.25">
      <c r="A170" s="2"/>
      <c r="B170" s="2"/>
      <c r="C170" s="10"/>
      <c r="D170" s="10"/>
    </row>
    <row r="171" spans="1:4" x14ac:dyDescent="0.25">
      <c r="A171" s="2"/>
      <c r="B171" s="2"/>
      <c r="C171" s="10"/>
      <c r="D171" s="10"/>
    </row>
    <row r="172" spans="1:4" x14ac:dyDescent="0.25">
      <c r="A172" s="51"/>
      <c r="B172" s="51"/>
      <c r="C172" s="52"/>
      <c r="D172" s="52"/>
    </row>
    <row r="173" spans="1:4" x14ac:dyDescent="0.25">
      <c r="A173" s="51"/>
      <c r="B173" s="51"/>
      <c r="C173" s="52"/>
      <c r="D173" s="52"/>
    </row>
    <row r="174" spans="1:4" ht="14.25" thickBot="1" x14ac:dyDescent="0.3">
      <c r="A174" s="3"/>
      <c r="B174" s="3"/>
      <c r="C174" s="11"/>
      <c r="D174" s="11"/>
    </row>
    <row r="175" spans="1:4" ht="14.25" thickBot="1" x14ac:dyDescent="0.3">
      <c r="A175" s="48" t="s">
        <v>21</v>
      </c>
      <c r="B175" s="48">
        <f>SUM(B160:B174)</f>
        <v>0</v>
      </c>
      <c r="C175" s="89" t="s">
        <v>51</v>
      </c>
      <c r="D175" s="49"/>
    </row>
    <row r="176" spans="1:4" ht="15" thickBot="1" x14ac:dyDescent="0.35">
      <c r="A176" s="50"/>
      <c r="B176" s="50"/>
      <c r="C176" s="50"/>
      <c r="D176" s="50"/>
    </row>
    <row r="177" spans="1:4" ht="18.75" thickBot="1" x14ac:dyDescent="0.3">
      <c r="A177" s="43" t="s">
        <v>13</v>
      </c>
      <c r="B177" s="44">
        <v>10</v>
      </c>
      <c r="C177" s="45" t="s">
        <v>22</v>
      </c>
      <c r="D177" s="54">
        <f>$D$158+7</f>
        <v>45012</v>
      </c>
    </row>
    <row r="178" spans="1:4" ht="27.75" thickBot="1" x14ac:dyDescent="0.3">
      <c r="A178" s="46" t="s">
        <v>2</v>
      </c>
      <c r="B178" s="47" t="s">
        <v>14</v>
      </c>
      <c r="C178" s="46" t="s">
        <v>6</v>
      </c>
      <c r="D178" s="46" t="s">
        <v>12</v>
      </c>
    </row>
    <row r="179" spans="1:4" x14ac:dyDescent="0.25">
      <c r="A179" s="5"/>
      <c r="B179" s="4"/>
      <c r="C179" s="9"/>
      <c r="D179" s="9"/>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2"/>
      <c r="B188" s="2"/>
      <c r="C188" s="10"/>
      <c r="D188" s="10"/>
    </row>
    <row r="189" spans="1:4" x14ac:dyDescent="0.25">
      <c r="A189" s="2"/>
      <c r="B189" s="2"/>
      <c r="C189" s="10"/>
      <c r="D189" s="10"/>
    </row>
    <row r="190" spans="1:4" x14ac:dyDescent="0.25">
      <c r="A190" s="2"/>
      <c r="B190" s="2"/>
      <c r="C190" s="10"/>
      <c r="D190" s="10"/>
    </row>
    <row r="191" spans="1:4" x14ac:dyDescent="0.25">
      <c r="A191" s="51"/>
      <c r="B191" s="51"/>
      <c r="C191" s="52"/>
      <c r="D191" s="52"/>
    </row>
    <row r="192" spans="1:4" x14ac:dyDescent="0.25">
      <c r="A192" s="51"/>
      <c r="B192" s="51"/>
      <c r="C192" s="52"/>
      <c r="D192" s="52"/>
    </row>
    <row r="193" spans="1:4" ht="14.25" thickBot="1" x14ac:dyDescent="0.3">
      <c r="A193" s="3"/>
      <c r="B193" s="3"/>
      <c r="C193" s="11"/>
      <c r="D193" s="11"/>
    </row>
    <row r="194" spans="1:4" ht="14.25" thickBot="1" x14ac:dyDescent="0.3">
      <c r="A194" s="48" t="s">
        <v>21</v>
      </c>
      <c r="B194" s="48">
        <f>SUM(B179:B193)</f>
        <v>0</v>
      </c>
      <c r="C194" s="89" t="s">
        <v>51</v>
      </c>
      <c r="D194" s="49"/>
    </row>
    <row r="195" spans="1:4" ht="14.25" x14ac:dyDescent="0.3">
      <c r="A195" s="50"/>
      <c r="B195" s="50"/>
      <c r="C195" s="50"/>
      <c r="D195" s="50"/>
    </row>
    <row r="196" spans="1:4" x14ac:dyDescent="0.25">
      <c r="A196"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103:B117 B122:B136 B141:B155 B160:B174 B179:B193 B3:B22 B27:B41 B84:B98 B72:B79"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18 B137 B156 B175 B194" xr:uid="{AC09EF01-5E22-4EA1-BB83-D8349F85B499}">
      <formula1>0</formula1>
      <formula2>NbPerWeek * NbQuartPer</formula2>
    </dataValidation>
    <dataValidation type="list" allowBlank="1" showInputMessage="1" showErrorMessage="1" sqref="A27:A44 A49:A67 A103:A117 A122:A136 A141:A155 A160:A174 A179:A193 A3:A22 B42 A84:A98 A72:A79"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7"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AN10" sqref="AN10"/>
    </sheetView>
  </sheetViews>
  <sheetFormatPr baseColWidth="10" defaultRowHeight="13.5" x14ac:dyDescent="0.25"/>
  <cols>
    <col min="2" max="2" width="31" customWidth="1"/>
    <col min="3" max="38" width="3.7109375" customWidth="1"/>
    <col min="39" max="40" width="11.42578125" customWidth="1"/>
  </cols>
  <sheetData>
    <row r="2" spans="2:38" x14ac:dyDescent="0.25">
      <c r="C2" s="124">
        <v>44949</v>
      </c>
      <c r="D2" s="124"/>
      <c r="E2" s="124"/>
      <c r="F2" s="124"/>
      <c r="G2" s="124">
        <v>44956</v>
      </c>
      <c r="H2" s="124"/>
      <c r="I2" s="124"/>
      <c r="J2" s="124"/>
      <c r="K2" s="124">
        <v>44963</v>
      </c>
      <c r="L2" s="124"/>
      <c r="M2" s="124"/>
      <c r="N2" s="124"/>
      <c r="O2" s="124">
        <v>44970</v>
      </c>
      <c r="P2" s="124"/>
      <c r="Q2" s="124"/>
      <c r="R2" s="124"/>
      <c r="S2" s="124">
        <v>44977</v>
      </c>
      <c r="T2" s="124"/>
      <c r="U2" s="124"/>
      <c r="V2" s="124"/>
      <c r="W2" s="124">
        <v>44984</v>
      </c>
      <c r="X2" s="124"/>
      <c r="Y2" s="124"/>
      <c r="Z2" s="124"/>
      <c r="AA2" s="124">
        <v>44991</v>
      </c>
      <c r="AB2" s="124"/>
      <c r="AC2" s="124"/>
      <c r="AD2" s="124"/>
      <c r="AE2" s="124">
        <v>44998</v>
      </c>
      <c r="AF2" s="124"/>
      <c r="AG2" s="124"/>
      <c r="AH2" s="124"/>
      <c r="AI2" s="124">
        <v>45005</v>
      </c>
      <c r="AJ2" s="124"/>
      <c r="AK2" s="124"/>
      <c r="AL2" s="124"/>
    </row>
    <row r="3" spans="2:38" ht="14.25" thickBot="1" x14ac:dyDescent="0.3">
      <c r="C3" s="125" t="s">
        <v>41</v>
      </c>
      <c r="D3" s="125"/>
      <c r="E3" s="125"/>
      <c r="F3" s="125"/>
      <c r="G3" s="125" t="s">
        <v>42</v>
      </c>
      <c r="H3" s="125"/>
      <c r="I3" s="125"/>
      <c r="J3" s="125"/>
      <c r="K3" s="125" t="s">
        <v>43</v>
      </c>
      <c r="L3" s="125"/>
      <c r="M3" s="125"/>
      <c r="N3" s="125"/>
      <c r="O3" s="125" t="s">
        <v>44</v>
      </c>
      <c r="P3" s="125"/>
      <c r="Q3" s="125"/>
      <c r="R3" s="125"/>
      <c r="S3" s="125" t="s">
        <v>45</v>
      </c>
      <c r="T3" s="125"/>
      <c r="U3" s="125"/>
      <c r="V3" s="125"/>
      <c r="W3" s="125" t="s">
        <v>46</v>
      </c>
      <c r="X3" s="125"/>
      <c r="Y3" s="125"/>
      <c r="Z3" s="125"/>
      <c r="AA3" s="125" t="s">
        <v>47</v>
      </c>
      <c r="AB3" s="125"/>
      <c r="AC3" s="125"/>
      <c r="AD3" s="125"/>
      <c r="AE3" s="125" t="s">
        <v>48</v>
      </c>
      <c r="AF3" s="125"/>
      <c r="AG3" s="125"/>
      <c r="AH3" s="125"/>
      <c r="AI3" s="125" t="s">
        <v>49</v>
      </c>
      <c r="AJ3" s="125"/>
      <c r="AK3" s="125"/>
      <c r="AL3" s="125"/>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S3:V3"/>
    <mergeCell ref="C3:F3"/>
    <mergeCell ref="C2:F2"/>
    <mergeCell ref="G3:J3"/>
    <mergeCell ref="K3:N3"/>
    <mergeCell ref="O3:R3"/>
    <mergeCell ref="G2:J2"/>
    <mergeCell ref="K2:N2"/>
    <mergeCell ref="O2:R2"/>
    <mergeCell ref="S2:V2"/>
    <mergeCell ref="W2:Z2"/>
    <mergeCell ref="AE2:AH2"/>
    <mergeCell ref="AI2:AL2"/>
    <mergeCell ref="W3:Z3"/>
    <mergeCell ref="AA3:AD3"/>
    <mergeCell ref="AE3:AH3"/>
    <mergeCell ref="AI3:AL3"/>
    <mergeCell ref="AA2:AD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2023-02-22T13:41:09Z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