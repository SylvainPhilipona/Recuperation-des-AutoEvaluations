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
    </mc:Choice>
  </mc:AlternateContent>
  <xr:revisionPtr revIDLastSave="0" documentId="13_ncr:1_{3D870C15-0488-4D23-BF44-11F86E279E09}" xr6:coauthVersionLast="45" xr6:coauthVersionMax="47" xr10:uidLastSave="{00000000-0000-0000-0000-000000000000}"/>
  <bookViews>
    <workbookView xWindow="-289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71" r:id="rId6"/>
    <sheet name="Planification Initiale" sheetId="169"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9" i="171" l="1"/>
  <c r="D1" i="171" l="1"/>
  <c r="D25" i="171" s="1"/>
  <c r="D47" i="171" s="1"/>
  <c r="D70" i="171" s="1"/>
  <c r="D82" i="171" s="1"/>
  <c r="D101" i="171" s="1"/>
  <c r="D122" i="171" s="1"/>
  <c r="D141" i="171" s="1"/>
  <c r="D160" i="171" s="1"/>
  <c r="D179" i="171" s="1"/>
  <c r="B196" i="171"/>
  <c r="B177" i="171"/>
  <c r="B158" i="171"/>
  <c r="B139" i="171"/>
  <c r="B120" i="171"/>
  <c r="B80" i="171"/>
  <c r="B68" i="171"/>
  <c r="B45" i="171"/>
  <c r="B23" i="171"/>
  <c r="B18" i="154" l="1"/>
  <c r="B13" i="11" l="1"/>
</calcChain>
</file>

<file path=xl/sharedStrings.xml><?xml version="1.0" encoding="utf-8"?>
<sst xmlns="http://schemas.openxmlformats.org/spreadsheetml/2006/main" count="281" uniqueCount="101">
  <si>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</si>
  <si>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</si>
  <si>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</si>
  <si>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</si>
  <si>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</si>
  <si>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</si>
  <si>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</si>
  <si>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</si>
  <si>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</si>
  <si>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</si>
  <si>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</si>
  <si>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</si>
  <si>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</si>
  <si>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</si>
  <si>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</si>
  <si>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</si>
  <si>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</si>
  <si>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</si>
  <si>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</si>
  <si>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</si>
  <si>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</si>
  <si>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</si>
  <si>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</si>
  <si>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</si>
  <si>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</si>
  <si>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</si>
  <si>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</si>
  <si>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</si>
  <si>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</si>
  <si>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</si>
  <si>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</si>
  <si>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</si>
  <si>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</si>
  <si>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</si>
  <si>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</si>
  <si>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</si>
  <si>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</si>
  <si>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</si>
  <si>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</si>
  <si>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</si>
  <si>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</si>
  <si>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</si>
  <si>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</si>
  <si>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</si>
  <si>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</si>
  <si>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</si>
  <si>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</si>
  <si>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</si>
  <si>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</si>
  <si>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</si>
  <si>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</si>
  <si>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</si>
  <si>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</si>
  <si>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</si>
  <si>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</si>
  <si>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</si>
  <si>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https://techexpert.tips/powershell/powershell-creating-excel-file/
https://stackoverflow.com/questions/37665118/how-to-open-excel-workbook-from-powershell-for-automation</t>
  </si>
  <si>
    <t>https://stackoverflow.com/questions/2249619/how-to-format-a-datetime-in-powershell</t>
  </si>
  <si>
    <t>• Test de génération sur un environement clean (VM) et avec des valeurs differentes dans les configurations</t>
  </si>
  <si>
    <t>• Présenations des stages des eleves, attribution des projets</t>
  </si>
  <si>
    <t>• Création du git
• Création de l'arborésence initiale
• Récupération des données à exporter et création d'une structure pour input les données des élèves dans les scripts</t>
  </si>
  <si>
    <t>• Analyse du cahier des charges avec M.Gruaz</t>
  </si>
  <si>
    <t>• Planification initiale, création des user stories sur git</t>
  </si>
  <si>
    <t>• Recherche d'informations concernant les technologies PowerShell pour réaliser ce projet</t>
  </si>
  <si>
    <t>• Récupération de données de celules excel via PowerShell</t>
  </si>
  <si>
    <t>• Présentation de M.Sahli sur les TPI
• Demande à M.Ferrari et M.Sahli pour mon chef de TPI</t>
  </si>
  <si>
    <t>• Analyse des critères d'évaluation du TPI</t>
  </si>
  <si>
    <t>• Remplissage du JDT
• Mise en forme du fichier</t>
  </si>
  <si>
    <t>• Mise à jour de mon poste
• Appel avec mon maitre de stage concernant un script</t>
  </si>
  <si>
    <t>• Récupération des données d'inputs pour les auto evals (nom projet, prof...)
• Ajout des données dans les auto evals et création des fichiers pour chaque eleves
• Ajout des dates formatées dans les auto evals
• Optimisation de l'installation automatique des packages
• Création d'une VM pour les tests
• Protection des cellules du modèle</t>
  </si>
  <si>
    <t>• Rédaction du rapport</t>
  </si>
  <si>
    <t>• Ajout de verification des données en input par l'utilisateur (Fichiers existants, données présentes...)
• Optimisation de la modification en ajoutant des constantes dans un fichier Config
• Ajout du logging des actions réalisées
• Verification que excel est installé</t>
  </si>
  <si>
    <t>• Test de la génération des auto evals sur 2 machines de l'etml et une VM</t>
  </si>
  <si>
    <t>• Discussion avec M-Gruaz à propos du projet</t>
  </si>
  <si>
    <t>• Cours se finissant plus tôt
• Assiatance au projet de Dorian Capelli
• Assistance au projet de Joca Bolli</t>
  </si>
  <si>
    <t xml:space="preserve">https://stackoverflow.com/questions/41700636/get-childitem-doesnt-work-with-include
</t>
  </si>
  <si>
    <t>• Optimisation de la gestions d'erreurs
• Récupération des auto évaluations dans un dossier</t>
  </si>
  <si>
    <t>• Ajout d'une fontion de recherche de cellule par nom</t>
  </si>
  <si>
    <t>• https://stackoverflow.com/questions/3226096/copy-excel-worksheet-from-one-workbook-to-another-with-powershell
• https://learn.microsoft.com/en-us/answers/questions/864246/powershell-vba-and-excel</t>
  </si>
  <si>
    <t>• Récupération des données et des notes des auto evals
• Mise en commun des AutoEvals dans un seul fichier
• Problème de liaision de fichiers excel</t>
  </si>
  <si>
    <t>• Rapport</t>
  </si>
  <si>
    <t>• Résolution d'un problème de liaisons de fichier Excel lors de la génération de la synthèse
Modification de la création de la synthèse : Les auto evals sont copiés dans le fichier modèle puis ce fichiers est "Save As" pour créer le fichier final
• Création d'une macro pour rapatrier les notes</t>
  </si>
  <si>
    <t>https://support.microsoft.com/en-us/topic/macro-to-loop-through-all-worksheets-in-a-workbook-feef14e3-97cf-00e2-538b-5da40186e2b0
https://vbaf1.com/table/clear-table-content/
https://www.automateexcel.com/vba/string-data-type/
https://officetuts.net/excel/vba/add-data-to-table-using-vba/
https://support.microsoft.com/en-us/topic/macro-to-loop-through-all-worksheets-in-a-workbook-feef14e3-97cf-00e2-538b-5da40186e2b0</t>
  </si>
  <si>
    <t>• Export des auto evals en PDF</t>
  </si>
  <si>
    <t xml:space="preserve">• https://wellsr.com/vba/2016/excel/vba-replace-function-to-replace-characters-in-string/
</t>
  </si>
  <si>
    <t>•http://ramblingcookiemonster.github.io/PowerShell-Configuration-Data/
• https://learn.microsoft.com/en-us/powershell/scripting/developer/module/how-to-write-a-powershell-module-manifest?view=powershell-7.3 
•https://social.technet.microsoft.com/Forums/office/en-US/e5d8594b-b14b-4a54-913c-61089b5d9ab4/release-or-delete-a-com-object-from-powershell?forum=winserverpowershell
• https://learn.microsoft.com/en-us/powershell/module/microsoft.powershell.host/start-transcript?view=powershell-7.3
• https://learn-powershell.net/2015/04/09/quick-hits-finding-exception-types-with-powershell/</t>
  </si>
  <si>
    <t>• Test des scripts sur une VM avec Office</t>
  </si>
  <si>
    <t>• Présentation de M.Gruaz sur les critères d'évaluation des TPI</t>
  </si>
  <si>
    <t>Documentation</t>
  </si>
  <si>
    <t>• Tentative d'une interface graphique en XAML pour lancer les scripts cela n'a pas fonctionné, je vais passer sur du Windows.Forms avec Powershell car je l'ai déjà fait pour un ancien projet</t>
  </si>
  <si>
    <t>• Création d'une interface graphique en Windows.Form pour la création ou la récupération des auto-évaluations</t>
  </si>
  <si>
    <t>• https://learn.microsoft.com/en-us/powershell/scripting/samples/creating-a-custom-input-box?view=powershell-7.3
• https://social.technet.microsoft.com/wiki/contents/articles/25911.how-to-add-a-powershell-gui-event-handler-part-1.aspx
• https://stackoverflow.com/questions/15120597/passing-multiple-values-to-a-single-powershell-script-parameter</t>
  </si>
  <si>
    <t>Congé</t>
  </si>
  <si>
    <t>Présentation de M.Gruaz sur les critères d'évaluation des TPI</t>
  </si>
  <si>
    <t>• Ajout de messages d'erreurs selon chaques cas possible
• Gestion des erreurs
• Ajout des entêtes des fichiers de script</t>
  </si>
  <si>
    <t>Test du programme en environement VM</t>
  </si>
  <si>
    <t>• Ajout des entêtes des fichiers de script
• Ajout du mode anavcé pour modifier les chemins
• Mise à jour du script de compilation avec des constantes</t>
  </si>
  <si>
    <t>•https://social.technet.microsoft.com/wiki/contents/articles/28746.powershell-gui-how-to-create-a-link-label-using-winforms.aspx
•https://stackoverflow.com/questions/7976646/powershell-store-entire-text-file-contents-in-variable</t>
  </si>
  <si>
    <t>• Test des scripts sur plusieurs machines de la classe + une VM</t>
  </si>
  <si>
    <t>• Documentations</t>
  </si>
  <si>
    <t>• Ajout des entêtes des fichiers de script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</si>
</sst>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9"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
      <sz val="10"/>
      <color theme="1"/>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18" fillId="0" borderId="2" xfId="1"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0" fontId="0" fillId="0" borderId="0" xfId="0" applyAlignment="1">
      <alignment horizontal="center"/>
    </xf>
    <xf numFmtId="14" fontId="9" fillId="0" borderId="0" xfId="0" applyNumberFormat="1" applyFont="1"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4513" name="btnImportRealisation"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learn.microsoft.com/en-us/powershell/scripting/samples/creating-a-custom-input-box?view=powershell-7.3" TargetMode="External"/><Relationship Id="rId13" Type="http://schemas.openxmlformats.org/officeDocument/2006/relationships/image" Target="../media/image7.emf"/><Relationship Id="rId3" Type="http://schemas.openxmlformats.org/officeDocument/2006/relationships/hyperlink" Target="https://techexpert.tips/powershell/powershell-creating-excel-file/" TargetMode="External"/><Relationship Id="rId7" Type="http://schemas.openxmlformats.org/officeDocument/2006/relationships/hyperlink" Target="https://support.microsoft.com/en-us/topic/macro-to-loop-through-all-worksheets-in-a-workbook-feef14e3-97cf-00e2-538b-5da40186e2b0" TargetMode="External"/><Relationship Id="rId12" Type="http://schemas.openxmlformats.org/officeDocument/2006/relationships/control" Target="../activeX/activeX6.xml"/><Relationship Id="rId2" Type="http://schemas.openxmlformats.org/officeDocument/2006/relationships/hyperlink" Target="https://github.com/dfinke/ImportExcel" TargetMode="External"/><Relationship Id="rId1" Type="http://schemas.openxmlformats.org/officeDocument/2006/relationships/hyperlink" Target="https://github.com/users/SylvainPhilipona/projects/1/views/1" TargetMode="External"/><Relationship Id="rId6" Type="http://schemas.openxmlformats.org/officeDocument/2006/relationships/hyperlink" Target="https://stackoverflow.com/questions/3226096/copy-excel-worksheet-from-one-workbook-to-another-with-powershell" TargetMode="External"/><Relationship Id="rId11" Type="http://schemas.openxmlformats.org/officeDocument/2006/relationships/vmlDrawing" Target="../drawings/vmlDrawing5.vml"/><Relationship Id="rId5" Type="http://schemas.openxmlformats.org/officeDocument/2006/relationships/hyperlink" Target="https://stackoverflow.com/questions/41700636/get-childitem-doesnt-work-with-include" TargetMode="External"/><Relationship Id="rId10" Type="http://schemas.openxmlformats.org/officeDocument/2006/relationships/drawing" Target="../drawings/drawing4.xml"/><Relationship Id="rId4" Type="http://schemas.openxmlformats.org/officeDocument/2006/relationships/hyperlink" Target="https://stackoverflow.com/questions/2249619/how-to-format-a-datetime-in-powershell" TargetMode="External"/><Relationship Id="rId9"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topLeftCell="A16" zoomScaleNormal="100" zoomScaleSheetLayoutView="10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37</v>
      </c>
      <c r="D4" s="60"/>
      <c r="E4" s="60"/>
      <c r="F4" s="60"/>
      <c r="G4" s="61"/>
    </row>
    <row r="5" spans="1:7" ht="20.25" x14ac:dyDescent="0.25">
      <c r="A5" s="59"/>
      <c r="B5" s="64" t="s">
        <v>0</v>
      </c>
      <c r="C5" s="65" t="s">
        <v>36</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10</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0" t="s">
        <v>18</v>
      </c>
      <c r="C19" s="121"/>
      <c r="D19" s="60"/>
      <c r="E19" s="60"/>
      <c r="F19" s="60"/>
      <c r="G19" s="61"/>
    </row>
    <row r="20" spans="1:13" ht="20.25" x14ac:dyDescent="0.25">
      <c r="A20" s="79"/>
      <c r="B20" s="80" t="s">
        <v>19</v>
      </c>
      <c r="C20" s="81" t="s">
        <v>26</v>
      </c>
      <c r="D20" s="60"/>
      <c r="E20" s="60"/>
      <c r="F20" s="60"/>
      <c r="G20" s="61"/>
    </row>
    <row r="21" spans="1:13" ht="20.25" x14ac:dyDescent="0.25">
      <c r="A21" s="79"/>
      <c r="B21" s="80">
        <v>1</v>
      </c>
      <c r="C21" s="70" t="s">
        <v>25</v>
      </c>
      <c r="D21" s="60"/>
      <c r="E21" s="60"/>
      <c r="F21" s="60"/>
      <c r="G21" s="61"/>
    </row>
    <row r="22" spans="1:13" ht="20.25" x14ac:dyDescent="0.25">
      <c r="A22" s="79"/>
      <c r="B22" s="80">
        <v>2</v>
      </c>
      <c r="C22" s="71" t="s">
        <v>27</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39</v>
      </c>
      <c r="D29" s="60"/>
      <c r="E29" s="60"/>
      <c r="F29" s="60"/>
      <c r="G29" s="61"/>
    </row>
    <row r="30" spans="1:13" ht="20.25" x14ac:dyDescent="0.25">
      <c r="A30" s="79"/>
      <c r="B30" s="80">
        <v>10</v>
      </c>
      <c r="C30" s="72" t="s">
        <v>38</v>
      </c>
      <c r="D30" s="60"/>
      <c r="E30" s="60"/>
      <c r="F30" s="60"/>
      <c r="G30" s="61"/>
    </row>
    <row r="31" spans="1:13" ht="20.25" x14ac:dyDescent="0.25">
      <c r="A31" s="79"/>
      <c r="B31" s="80">
        <v>11</v>
      </c>
      <c r="C31" s="72" t="s">
        <v>28</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22" t="s">
        <v>20</v>
      </c>
      <c r="C3" s="16">
        <v>0</v>
      </c>
    </row>
    <row r="4" spans="1:4" ht="19.5" customHeight="1" x14ac:dyDescent="0.25">
      <c r="A4" s="19"/>
      <c r="B4" s="123"/>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456E-C889-4C56-A864-A9BC90D9C74A}">
  <sheetPr codeName="Feuil10"/>
  <dimension ref="A1:I198"/>
  <sheetViews>
    <sheetView tabSelected="1" topLeftCell="A100" workbookViewId="0">
      <selection activeCell="D110" sqref="D11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52</v>
      </c>
      <c r="D3" s="114"/>
    </row>
    <row r="4" spans="1:4" s="53" customFormat="1" x14ac:dyDescent="0.25">
      <c r="A4" s="1" t="s">
        <v>28</v>
      </c>
      <c r="B4" s="2">
        <v>18</v>
      </c>
      <c r="C4" s="10" t="s">
        <v>59</v>
      </c>
      <c r="D4" s="10"/>
    </row>
    <row r="5" spans="1:4" s="53" customFormat="1" ht="54" x14ac:dyDescent="0.25">
      <c r="A5" s="1" t="s">
        <v>33</v>
      </c>
      <c r="B5" s="2">
        <v>5</v>
      </c>
      <c r="C5" s="10" t="s">
        <v>60</v>
      </c>
      <c r="D5" s="90"/>
    </row>
    <row r="6" spans="1:4" s="53" customFormat="1" x14ac:dyDescent="0.25">
      <c r="A6" s="1" t="s">
        <v>25</v>
      </c>
      <c r="B6" s="2">
        <v>1</v>
      </c>
      <c r="C6" s="10"/>
      <c r="D6" s="10"/>
    </row>
    <row r="7" spans="1:4" s="53" customFormat="1" x14ac:dyDescent="0.25">
      <c r="A7" s="111"/>
      <c r="B7" s="112"/>
      <c r="C7" s="113" t="s">
        <v>53</v>
      </c>
      <c r="D7" s="114"/>
    </row>
    <row r="8" spans="1:4" s="53" customFormat="1" ht="27" x14ac:dyDescent="0.25">
      <c r="A8" s="1" t="s">
        <v>30</v>
      </c>
      <c r="B8" s="2">
        <v>6</v>
      </c>
      <c r="C8" s="10" t="s">
        <v>61</v>
      </c>
      <c r="D8" s="10"/>
    </row>
    <row r="9" spans="1:4" s="53" customFormat="1" ht="40.5" x14ac:dyDescent="0.25">
      <c r="A9" s="1" t="s">
        <v>31</v>
      </c>
      <c r="B9" s="2">
        <v>9</v>
      </c>
      <c r="C9" s="10" t="s">
        <v>62</v>
      </c>
      <c r="D9" s="90" t="s">
        <v>50</v>
      </c>
    </row>
    <row r="10" spans="1:4" s="53" customFormat="1" ht="40.5" x14ac:dyDescent="0.25">
      <c r="A10" s="1" t="s">
        <v>32</v>
      </c>
      <c r="B10" s="2">
        <v>6</v>
      </c>
      <c r="C10" s="10" t="s">
        <v>63</v>
      </c>
      <c r="D10" s="90" t="s">
        <v>40</v>
      </c>
    </row>
    <row r="11" spans="1:4" s="53" customFormat="1" x14ac:dyDescent="0.25">
      <c r="A11" s="1" t="s">
        <v>25</v>
      </c>
      <c r="B11" s="2">
        <v>1</v>
      </c>
      <c r="C11" s="10"/>
      <c r="D11" s="90"/>
    </row>
    <row r="12" spans="1:4" s="53" customFormat="1" ht="63.75" x14ac:dyDescent="0.25">
      <c r="A12" s="116" t="s">
        <v>33</v>
      </c>
      <c r="B12" s="116">
        <v>5</v>
      </c>
      <c r="C12" s="115" t="s">
        <v>64</v>
      </c>
      <c r="D12" s="90" t="s">
        <v>56</v>
      </c>
    </row>
    <row r="13" spans="1:4" s="53" customFormat="1" x14ac:dyDescent="0.25">
      <c r="A13" s="112"/>
      <c r="B13" s="112"/>
      <c r="C13" s="113" t="s">
        <v>54</v>
      </c>
      <c r="D13" s="114"/>
    </row>
    <row r="14" spans="1:4" s="53" customFormat="1" ht="27" x14ac:dyDescent="0.25">
      <c r="A14" s="116" t="s">
        <v>26</v>
      </c>
      <c r="B14" s="116">
        <v>6</v>
      </c>
      <c r="C14" s="115" t="s">
        <v>65</v>
      </c>
      <c r="D14" s="115"/>
    </row>
    <row r="15" spans="1:4" s="53" customFormat="1" ht="27" x14ac:dyDescent="0.25">
      <c r="A15" s="51" t="s">
        <v>30</v>
      </c>
      <c r="B15" s="51">
        <v>4</v>
      </c>
      <c r="C15" s="52" t="s">
        <v>66</v>
      </c>
      <c r="D15" s="117"/>
    </row>
    <row r="16" spans="1:4" s="53" customFormat="1" ht="27" x14ac:dyDescent="0.25">
      <c r="A16" s="51" t="s">
        <v>25</v>
      </c>
      <c r="B16" s="51">
        <v>2</v>
      </c>
      <c r="C16" s="52" t="s">
        <v>67</v>
      </c>
      <c r="D16" s="52"/>
    </row>
    <row r="17" spans="1:9" s="53" customFormat="1" x14ac:dyDescent="0.25">
      <c r="A17" s="112"/>
      <c r="B17" s="112"/>
      <c r="C17" s="113" t="s">
        <v>55</v>
      </c>
      <c r="D17" s="114"/>
    </row>
    <row r="18" spans="1:9" s="53" customFormat="1" ht="27" x14ac:dyDescent="0.25">
      <c r="A18" s="51" t="s">
        <v>26</v>
      </c>
      <c r="B18" s="51">
        <v>6</v>
      </c>
      <c r="C18" s="52" t="s">
        <v>68</v>
      </c>
      <c r="D18" s="52"/>
    </row>
    <row r="19" spans="1:9" s="53" customFormat="1" ht="81" x14ac:dyDescent="0.25">
      <c r="A19" s="51" t="s">
        <v>33</v>
      </c>
      <c r="B19" s="51">
        <v>16</v>
      </c>
      <c r="C19" s="52" t="s">
        <v>69</v>
      </c>
      <c r="D19" s="118" t="s">
        <v>57</v>
      </c>
    </row>
    <row r="20" spans="1:9" s="53" customFormat="1" x14ac:dyDescent="0.25">
      <c r="A20" s="51" t="s">
        <v>25</v>
      </c>
      <c r="B20" s="51">
        <v>1</v>
      </c>
      <c r="C20" s="52"/>
      <c r="D20" s="52"/>
    </row>
    <row r="21" spans="1:9" s="53" customFormat="1" ht="27" x14ac:dyDescent="0.25">
      <c r="A21" s="51" t="s">
        <v>39</v>
      </c>
      <c r="B21" s="51">
        <v>4</v>
      </c>
      <c r="C21" s="52" t="s">
        <v>70</v>
      </c>
      <c r="D21" s="52"/>
    </row>
    <row r="22" spans="1:9" s="53" customFormat="1" ht="14.25" thickBot="1" x14ac:dyDescent="0.3">
      <c r="A22" s="3"/>
      <c r="B22" s="3"/>
      <c r="C22" s="11"/>
      <c r="D22" s="11"/>
    </row>
    <row r="23" spans="1:9" ht="14.25" thickBot="1" x14ac:dyDescent="0.3">
      <c r="A23" s="48" t="s">
        <v>21</v>
      </c>
      <c r="B23" s="48">
        <f>SUM(B3:B22)</f>
        <v>90</v>
      </c>
      <c r="C23" s="89" t="s">
        <v>51</v>
      </c>
      <c r="D23" s="49"/>
    </row>
    <row r="24" spans="1:9" ht="15" thickBot="1" x14ac:dyDescent="0.35">
      <c r="A24" s="50"/>
      <c r="B24" s="50"/>
      <c r="C24" s="5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x14ac:dyDescent="0.25">
      <c r="A27" s="111"/>
      <c r="B27" s="112"/>
      <c r="C27" s="113" t="s">
        <v>52</v>
      </c>
      <c r="D27" s="114"/>
    </row>
    <row r="28" spans="1:9" ht="283.5" x14ac:dyDescent="0.25">
      <c r="A28" s="1" t="s">
        <v>33</v>
      </c>
      <c r="B28" s="2">
        <v>20</v>
      </c>
      <c r="C28" s="10" t="s">
        <v>71</v>
      </c>
      <c r="D28" s="115" t="s">
        <v>85</v>
      </c>
    </row>
    <row r="29" spans="1:9" x14ac:dyDescent="0.25">
      <c r="A29" s="1" t="s">
        <v>25</v>
      </c>
      <c r="B29" s="2">
        <v>2</v>
      </c>
      <c r="C29" s="10"/>
      <c r="D29" s="10"/>
      <c r="E29" s="20"/>
      <c r="F29" s="20"/>
      <c r="G29" s="20"/>
      <c r="H29" s="20"/>
      <c r="I29" s="20"/>
    </row>
    <row r="30" spans="1:9" ht="42" customHeight="1" x14ac:dyDescent="0.25">
      <c r="A30" s="1" t="s">
        <v>34</v>
      </c>
      <c r="B30" s="2">
        <v>2</v>
      </c>
      <c r="C30" s="10" t="s">
        <v>58</v>
      </c>
      <c r="D30" s="10"/>
      <c r="E30" s="20"/>
      <c r="F30" s="32"/>
      <c r="G30" s="33"/>
      <c r="H30" s="34"/>
      <c r="I30" s="20"/>
    </row>
    <row r="31" spans="1:9" ht="15" x14ac:dyDescent="0.25">
      <c r="A31" s="111"/>
      <c r="B31" s="112"/>
      <c r="C31" s="113" t="s">
        <v>53</v>
      </c>
      <c r="D31" s="114"/>
      <c r="E31" s="20"/>
      <c r="F31" s="35"/>
      <c r="G31" s="31"/>
      <c r="H31" s="31"/>
      <c r="I31" s="20"/>
    </row>
    <row r="32" spans="1:9" ht="54" x14ac:dyDescent="0.25">
      <c r="A32" s="1" t="s">
        <v>33</v>
      </c>
      <c r="B32" s="2">
        <v>11</v>
      </c>
      <c r="C32" s="119" t="s">
        <v>76</v>
      </c>
      <c r="D32" s="90" t="s">
        <v>75</v>
      </c>
      <c r="E32" s="20"/>
      <c r="F32" s="37"/>
      <c r="G32" s="38"/>
      <c r="H32" s="38"/>
      <c r="I32" s="20"/>
    </row>
    <row r="33" spans="1:9" ht="27" x14ac:dyDescent="0.25">
      <c r="A33" s="1" t="s">
        <v>30</v>
      </c>
      <c r="B33" s="2">
        <v>2</v>
      </c>
      <c r="C33" s="10" t="s">
        <v>73</v>
      </c>
      <c r="D33" s="10"/>
      <c r="E33" s="20"/>
      <c r="F33" s="37"/>
      <c r="G33" s="38"/>
      <c r="H33" s="38"/>
      <c r="I33" s="20"/>
    </row>
    <row r="34" spans="1:9" ht="40.5" x14ac:dyDescent="0.25">
      <c r="A34" s="1" t="s">
        <v>28</v>
      </c>
      <c r="B34" s="2">
        <v>9</v>
      </c>
      <c r="C34" s="10" t="s">
        <v>74</v>
      </c>
      <c r="D34" s="10"/>
      <c r="E34" s="20"/>
      <c r="F34" s="37"/>
      <c r="G34" s="38"/>
      <c r="H34" s="38"/>
      <c r="I34" s="20"/>
    </row>
    <row r="35" spans="1:9" ht="40.5" x14ac:dyDescent="0.25">
      <c r="A35" s="1" t="s">
        <v>34</v>
      </c>
      <c r="B35" s="2">
        <v>4</v>
      </c>
      <c r="C35" s="10" t="s">
        <v>72</v>
      </c>
      <c r="D35" s="10"/>
      <c r="E35" s="20"/>
      <c r="F35" s="37"/>
      <c r="G35" s="38"/>
      <c r="H35" s="38"/>
      <c r="I35" s="20"/>
    </row>
    <row r="36" spans="1:9" x14ac:dyDescent="0.25">
      <c r="A36" s="2" t="s">
        <v>25</v>
      </c>
      <c r="B36" s="2">
        <v>1</v>
      </c>
      <c r="C36" s="10"/>
      <c r="D36" s="10"/>
      <c r="E36" s="20"/>
      <c r="F36" s="37"/>
      <c r="G36" s="38"/>
      <c r="H36" s="38"/>
      <c r="I36" s="20"/>
    </row>
    <row r="37" spans="1:9" x14ac:dyDescent="0.25">
      <c r="A37" s="112"/>
      <c r="B37" s="112"/>
      <c r="C37" s="113" t="s">
        <v>54</v>
      </c>
      <c r="D37" s="114"/>
      <c r="E37" s="20"/>
      <c r="F37" s="37"/>
      <c r="G37" s="38"/>
      <c r="H37" s="38"/>
      <c r="I37" s="20"/>
    </row>
    <row r="38" spans="1:9" x14ac:dyDescent="0.25">
      <c r="A38" s="2" t="s">
        <v>25</v>
      </c>
      <c r="B38" s="2">
        <v>2</v>
      </c>
      <c r="C38" s="10"/>
      <c r="D38" s="10"/>
      <c r="E38" s="20"/>
      <c r="F38" s="37"/>
      <c r="G38" s="38"/>
      <c r="H38" s="38"/>
      <c r="I38" s="20"/>
    </row>
    <row r="39" spans="1:9" ht="54" x14ac:dyDescent="0.25">
      <c r="A39" s="51" t="s">
        <v>33</v>
      </c>
      <c r="B39" s="51">
        <v>10</v>
      </c>
      <c r="C39" s="52" t="s">
        <v>77</v>
      </c>
      <c r="D39" s="52"/>
      <c r="E39" s="20"/>
      <c r="F39" s="37"/>
      <c r="G39" s="38"/>
      <c r="H39" s="38"/>
      <c r="I39" s="20"/>
    </row>
    <row r="40" spans="1:9" x14ac:dyDescent="0.25">
      <c r="A40" s="112"/>
      <c r="B40" s="112"/>
      <c r="C40" s="113" t="s">
        <v>55</v>
      </c>
      <c r="D40" s="114"/>
      <c r="E40" s="20"/>
      <c r="F40" s="39"/>
      <c r="G40" s="40"/>
      <c r="H40" s="40"/>
      <c r="I40" s="20"/>
    </row>
    <row r="41" spans="1:9" ht="89.25" x14ac:dyDescent="0.25">
      <c r="A41" s="51" t="s">
        <v>33</v>
      </c>
      <c r="B41" s="51">
        <v>19</v>
      </c>
      <c r="C41" s="52" t="s">
        <v>79</v>
      </c>
      <c r="D41" s="118" t="s">
        <v>78</v>
      </c>
      <c r="E41" s="20"/>
      <c r="F41" s="39"/>
      <c r="G41" s="40"/>
      <c r="H41" s="40"/>
      <c r="I41" s="20"/>
    </row>
    <row r="42" spans="1:9" ht="27" x14ac:dyDescent="0.25">
      <c r="A42" s="51" t="s">
        <v>39</v>
      </c>
      <c r="B42" s="51">
        <v>8</v>
      </c>
      <c r="C42" s="52" t="s">
        <v>80</v>
      </c>
      <c r="D42" s="52"/>
      <c r="E42" s="20"/>
      <c r="F42" s="39"/>
      <c r="G42" s="40"/>
      <c r="H42" s="40"/>
      <c r="I42" s="20"/>
    </row>
    <row r="43" spans="1:9" x14ac:dyDescent="0.25">
      <c r="A43" s="51"/>
      <c r="B43" s="51"/>
      <c r="C43" s="52"/>
      <c r="D43" s="52"/>
      <c r="E43" s="20"/>
      <c r="F43" s="39"/>
      <c r="G43" s="40"/>
      <c r="H43" s="40"/>
      <c r="I43" s="20"/>
    </row>
    <row r="44" spans="1:9" ht="15" thickBot="1" x14ac:dyDescent="0.35">
      <c r="A44" s="3"/>
      <c r="B44" s="3"/>
      <c r="C44" s="11"/>
      <c r="D44" s="11"/>
      <c r="E44" s="20"/>
      <c r="F44" s="41"/>
      <c r="G44" s="41"/>
      <c r="H44" s="41"/>
      <c r="I44" s="20"/>
    </row>
    <row r="45" spans="1:9" ht="14.25" thickBot="1" x14ac:dyDescent="0.3">
      <c r="A45" s="48" t="s">
        <v>21</v>
      </c>
      <c r="B45" s="48">
        <f>SUM(B27:B44)</f>
        <v>90</v>
      </c>
      <c r="C45" s="89" t="s">
        <v>51</v>
      </c>
      <c r="D45" s="49"/>
      <c r="E45" s="20"/>
      <c r="F45" s="20"/>
      <c r="G45" s="20"/>
      <c r="H45" s="20"/>
      <c r="I45" s="20"/>
    </row>
    <row r="46" spans="1:9" ht="15" thickBot="1" x14ac:dyDescent="0.35">
      <c r="A46" s="50"/>
      <c r="B46" s="50"/>
      <c r="C46" s="50"/>
      <c r="D46" s="50"/>
      <c r="E46" s="20"/>
      <c r="F46" s="20"/>
      <c r="G46" s="20"/>
      <c r="H46" s="20"/>
      <c r="I46" s="20"/>
    </row>
    <row r="47" spans="1:9" ht="18.75" thickBot="1" x14ac:dyDescent="0.3">
      <c r="A47" s="43" t="s">
        <v>13</v>
      </c>
      <c r="B47" s="44">
        <v>3</v>
      </c>
      <c r="C47" s="45" t="s">
        <v>22</v>
      </c>
      <c r="D47" s="54">
        <f>$D$25+7</f>
        <v>44963</v>
      </c>
      <c r="E47" s="20"/>
      <c r="F47" s="20"/>
      <c r="G47" s="20"/>
      <c r="H47" s="20"/>
      <c r="I47" s="20"/>
    </row>
    <row r="48" spans="1:9" ht="27.75" thickBot="1" x14ac:dyDescent="0.3">
      <c r="A48" s="46" t="s">
        <v>2</v>
      </c>
      <c r="B48" s="47" t="s">
        <v>14</v>
      </c>
      <c r="C48" s="46" t="s">
        <v>6</v>
      </c>
      <c r="D48" s="46" t="s">
        <v>12</v>
      </c>
    </row>
    <row r="49" spans="1:4" x14ac:dyDescent="0.25">
      <c r="A49" s="111"/>
      <c r="B49" s="112"/>
      <c r="C49" s="113" t="s">
        <v>52</v>
      </c>
      <c r="D49" s="114"/>
    </row>
    <row r="50" spans="1:4" ht="140.25" x14ac:dyDescent="0.25">
      <c r="A50" s="1" t="s">
        <v>33</v>
      </c>
      <c r="B50" s="2">
        <v>23</v>
      </c>
      <c r="C50" s="10" t="s">
        <v>81</v>
      </c>
      <c r="D50" s="90" t="s">
        <v>82</v>
      </c>
    </row>
    <row r="51" spans="1:4" x14ac:dyDescent="0.25">
      <c r="A51" s="1" t="s">
        <v>25</v>
      </c>
      <c r="B51" s="2">
        <v>1</v>
      </c>
      <c r="C51" s="10"/>
      <c r="D51" s="10"/>
    </row>
    <row r="52" spans="1:4" x14ac:dyDescent="0.25">
      <c r="A52" s="111"/>
      <c r="B52" s="112"/>
      <c r="C52" s="113" t="s">
        <v>53</v>
      </c>
      <c r="D52" s="114"/>
    </row>
    <row r="53" spans="1:4" ht="54" x14ac:dyDescent="0.25">
      <c r="A53" s="1" t="s">
        <v>33</v>
      </c>
      <c r="B53" s="2">
        <v>15</v>
      </c>
      <c r="C53" s="10" t="s">
        <v>83</v>
      </c>
      <c r="D53" s="10" t="s">
        <v>84</v>
      </c>
    </row>
    <row r="54" spans="1:4" x14ac:dyDescent="0.25">
      <c r="A54" s="1" t="s">
        <v>28</v>
      </c>
      <c r="B54" s="2">
        <v>3</v>
      </c>
      <c r="C54" s="10" t="s">
        <v>87</v>
      </c>
      <c r="D54" s="10"/>
    </row>
    <row r="55" spans="1:4" ht="40.5" x14ac:dyDescent="0.25">
      <c r="A55" s="1" t="s">
        <v>34</v>
      </c>
      <c r="B55" s="2">
        <v>7</v>
      </c>
      <c r="C55" s="10" t="s">
        <v>86</v>
      </c>
      <c r="D55" s="10"/>
    </row>
    <row r="56" spans="1:4" x14ac:dyDescent="0.25">
      <c r="A56" s="1" t="s">
        <v>25</v>
      </c>
      <c r="B56" s="2">
        <v>2</v>
      </c>
      <c r="C56" s="10"/>
      <c r="D56" s="10"/>
    </row>
    <row r="57" spans="1:4" x14ac:dyDescent="0.25">
      <c r="A57" s="112"/>
      <c r="B57" s="112"/>
      <c r="C57" s="113" t="s">
        <v>54</v>
      </c>
      <c r="D57" s="114"/>
    </row>
    <row r="58" spans="1:4" ht="27" x14ac:dyDescent="0.25">
      <c r="A58" s="1" t="s">
        <v>39</v>
      </c>
      <c r="B58" s="2">
        <v>12</v>
      </c>
      <c r="C58" s="10" t="s">
        <v>88</v>
      </c>
      <c r="D58" s="10"/>
    </row>
    <row r="59" spans="1:4" x14ac:dyDescent="0.25">
      <c r="A59" s="112"/>
      <c r="B59" s="112"/>
      <c r="C59" s="113" t="s">
        <v>55</v>
      </c>
      <c r="D59" s="114"/>
    </row>
    <row r="60" spans="1:4" ht="54" x14ac:dyDescent="0.25">
      <c r="A60" s="1" t="s">
        <v>33</v>
      </c>
      <c r="B60" s="2">
        <v>19</v>
      </c>
      <c r="C60" s="10" t="s">
        <v>89</v>
      </c>
      <c r="D60" s="10"/>
    </row>
    <row r="61" spans="1:4" ht="27" x14ac:dyDescent="0.25">
      <c r="A61" s="1" t="s">
        <v>39</v>
      </c>
      <c r="B61" s="2">
        <v>7</v>
      </c>
      <c r="C61" s="10" t="s">
        <v>88</v>
      </c>
      <c r="D61" s="10"/>
    </row>
    <row r="62" spans="1:4" x14ac:dyDescent="0.25">
      <c r="A62" s="2" t="s">
        <v>25</v>
      </c>
      <c r="B62" s="2">
        <v>1</v>
      </c>
      <c r="C62" s="10"/>
      <c r="D62" s="10"/>
    </row>
    <row r="63" spans="1:4" x14ac:dyDescent="0.25">
      <c r="A63" s="2"/>
      <c r="B63" s="2"/>
      <c r="C63" s="10"/>
      <c r="D63" s="10"/>
    </row>
    <row r="64" spans="1:4" x14ac:dyDescent="0.25">
      <c r="A64" s="2"/>
      <c r="B64" s="2"/>
      <c r="C64" s="10"/>
      <c r="D64" s="10"/>
    </row>
    <row r="65" spans="1:4" x14ac:dyDescent="0.25">
      <c r="A65" s="51"/>
      <c r="B65" s="51"/>
      <c r="C65" s="52"/>
      <c r="D65" s="52"/>
    </row>
    <row r="66" spans="1:4" x14ac:dyDescent="0.25">
      <c r="A66" s="51"/>
      <c r="B66" s="51"/>
      <c r="C66" s="52"/>
      <c r="D66" s="52"/>
    </row>
    <row r="67" spans="1:4" ht="14.25" thickBot="1" x14ac:dyDescent="0.3">
      <c r="A67" s="3"/>
      <c r="B67" s="3"/>
      <c r="C67" s="11"/>
      <c r="D67" s="11"/>
    </row>
    <row r="68" spans="1:4" ht="14.25" thickBot="1" x14ac:dyDescent="0.3">
      <c r="A68" s="48" t="s">
        <v>21</v>
      </c>
      <c r="B68" s="48">
        <f>SUM(B49:B67)</f>
        <v>90</v>
      </c>
      <c r="C68" s="89" t="s">
        <v>51</v>
      </c>
      <c r="D68" s="49"/>
    </row>
    <row r="69" spans="1:4" ht="15" thickBot="1" x14ac:dyDescent="0.35">
      <c r="A69" s="50"/>
      <c r="B69" s="50"/>
      <c r="C69" s="50"/>
      <c r="D69" s="50"/>
    </row>
    <row r="70" spans="1:4" ht="18.75" thickBot="1" x14ac:dyDescent="0.3">
      <c r="A70" s="43" t="s">
        <v>13</v>
      </c>
      <c r="B70" s="44">
        <v>4</v>
      </c>
      <c r="C70" s="45" t="s">
        <v>22</v>
      </c>
      <c r="D70" s="54">
        <f>$D$47+7</f>
        <v>44970</v>
      </c>
    </row>
    <row r="71" spans="1:4" ht="27.75" thickBot="1" x14ac:dyDescent="0.3">
      <c r="A71" s="46" t="s">
        <v>2</v>
      </c>
      <c r="B71" s="47" t="s">
        <v>14</v>
      </c>
      <c r="C71" s="46" t="s">
        <v>6</v>
      </c>
      <c r="D71" s="46" t="s">
        <v>12</v>
      </c>
    </row>
    <row r="72" spans="1:4" x14ac:dyDescent="0.25">
      <c r="A72" s="111"/>
      <c r="B72" s="112"/>
      <c r="C72" s="113" t="s">
        <v>52</v>
      </c>
      <c r="D72" s="114"/>
    </row>
    <row r="73" spans="1:4" x14ac:dyDescent="0.25">
      <c r="A73" s="1" t="s">
        <v>27</v>
      </c>
      <c r="B73" s="2">
        <v>24</v>
      </c>
      <c r="C73" s="10" t="s">
        <v>27</v>
      </c>
      <c r="D73" s="10"/>
    </row>
    <row r="74" spans="1:4" x14ac:dyDescent="0.25">
      <c r="A74" s="111"/>
      <c r="B74" s="112"/>
      <c r="C74" s="113" t="s">
        <v>53</v>
      </c>
      <c r="D74" s="114"/>
    </row>
    <row r="75" spans="1:4" x14ac:dyDescent="0.25">
      <c r="A75" s="1" t="s">
        <v>27</v>
      </c>
      <c r="B75" s="2">
        <v>27</v>
      </c>
      <c r="C75" s="10" t="s">
        <v>27</v>
      </c>
      <c r="D75" s="10"/>
    </row>
    <row r="76" spans="1:4" x14ac:dyDescent="0.25">
      <c r="A76" s="112"/>
      <c r="B76" s="112"/>
      <c r="C76" s="113" t="s">
        <v>54</v>
      </c>
      <c r="D76" s="114"/>
    </row>
    <row r="77" spans="1:4" x14ac:dyDescent="0.25">
      <c r="A77" s="1" t="s">
        <v>27</v>
      </c>
      <c r="B77" s="2">
        <v>12</v>
      </c>
      <c r="C77" s="10" t="s">
        <v>27</v>
      </c>
      <c r="D77" s="10"/>
    </row>
    <row r="78" spans="1:4" x14ac:dyDescent="0.25">
      <c r="A78" s="112"/>
      <c r="B78" s="112"/>
      <c r="C78" s="113" t="s">
        <v>55</v>
      </c>
      <c r="D78" s="114"/>
    </row>
    <row r="79" spans="1:4" ht="14.25" thickBot="1" x14ac:dyDescent="0.3">
      <c r="A79" s="1" t="s">
        <v>27</v>
      </c>
      <c r="B79" s="2">
        <v>27</v>
      </c>
      <c r="C79" s="10" t="s">
        <v>27</v>
      </c>
      <c r="D79" s="10"/>
    </row>
    <row r="80" spans="1:4" ht="14.25" thickBot="1" x14ac:dyDescent="0.3">
      <c r="A80" s="48" t="s">
        <v>21</v>
      </c>
      <c r="B80" s="48">
        <f>SUM(B72:B79)</f>
        <v>90</v>
      </c>
      <c r="C80" s="89" t="s">
        <v>51</v>
      </c>
      <c r="D80" s="49"/>
    </row>
    <row r="81" spans="1:4" ht="15" thickBot="1" x14ac:dyDescent="0.35">
      <c r="A81" s="50"/>
      <c r="B81" s="50"/>
      <c r="C81" s="50"/>
      <c r="D81" s="50"/>
    </row>
    <row r="82" spans="1:4" ht="18.75" thickBot="1" x14ac:dyDescent="0.3">
      <c r="A82" s="43" t="s">
        <v>13</v>
      </c>
      <c r="B82" s="44">
        <v>5</v>
      </c>
      <c r="C82" s="45" t="s">
        <v>22</v>
      </c>
      <c r="D82" s="54">
        <f>$D$70+7</f>
        <v>44977</v>
      </c>
    </row>
    <row r="83" spans="1:4" ht="27.75" thickBot="1" x14ac:dyDescent="0.3">
      <c r="A83" s="46" t="s">
        <v>2</v>
      </c>
      <c r="B83" s="47" t="s">
        <v>14</v>
      </c>
      <c r="C83" s="46" t="s">
        <v>6</v>
      </c>
      <c r="D83" s="46" t="s">
        <v>12</v>
      </c>
    </row>
    <row r="84" spans="1:4" x14ac:dyDescent="0.25">
      <c r="A84" s="111"/>
      <c r="B84" s="112"/>
      <c r="C84" s="113" t="s">
        <v>52</v>
      </c>
      <c r="D84" s="114"/>
    </row>
    <row r="85" spans="1:4" x14ac:dyDescent="0.25">
      <c r="A85" s="2" t="s">
        <v>27</v>
      </c>
      <c r="B85" s="2">
        <v>24</v>
      </c>
      <c r="C85" s="10" t="s">
        <v>92</v>
      </c>
      <c r="D85" s="10"/>
    </row>
    <row r="86" spans="1:4" x14ac:dyDescent="0.25">
      <c r="A86" s="111"/>
      <c r="B86" s="112"/>
      <c r="C86" s="113" t="s">
        <v>53</v>
      </c>
      <c r="D86" s="114"/>
    </row>
    <row r="87" spans="1:4" x14ac:dyDescent="0.25">
      <c r="A87" s="1" t="s">
        <v>28</v>
      </c>
      <c r="B87" s="2">
        <v>2</v>
      </c>
      <c r="C87" s="10" t="s">
        <v>87</v>
      </c>
      <c r="D87" s="10"/>
    </row>
    <row r="88" spans="1:4" ht="27" x14ac:dyDescent="0.25">
      <c r="A88" s="1" t="s">
        <v>39</v>
      </c>
      <c r="B88" s="2">
        <v>12</v>
      </c>
      <c r="C88" s="10" t="s">
        <v>80</v>
      </c>
      <c r="D88" s="10"/>
    </row>
    <row r="89" spans="1:4" ht="140.25" x14ac:dyDescent="0.25">
      <c r="A89" s="1" t="s">
        <v>33</v>
      </c>
      <c r="B89" s="2">
        <v>13</v>
      </c>
      <c r="C89" s="10" t="s">
        <v>90</v>
      </c>
      <c r="D89" s="90" t="s">
        <v>91</v>
      </c>
    </row>
    <row r="90" spans="1:4" x14ac:dyDescent="0.25">
      <c r="A90" s="112"/>
      <c r="B90" s="112"/>
      <c r="C90" s="113" t="s">
        <v>54</v>
      </c>
      <c r="D90" s="114"/>
    </row>
    <row r="91" spans="1:4" ht="27" x14ac:dyDescent="0.25">
      <c r="A91" s="1" t="s">
        <v>39</v>
      </c>
      <c r="B91" s="2">
        <v>12</v>
      </c>
      <c r="C91" s="10" t="s">
        <v>80</v>
      </c>
      <c r="D91" s="10"/>
    </row>
    <row r="92" spans="1:4" x14ac:dyDescent="0.25">
      <c r="A92" s="112"/>
      <c r="B92" s="112"/>
      <c r="C92" s="113" t="s">
        <v>55</v>
      </c>
      <c r="D92" s="114"/>
    </row>
    <row r="93" spans="1:4" ht="27" x14ac:dyDescent="0.25">
      <c r="A93" s="1" t="s">
        <v>39</v>
      </c>
      <c r="B93" s="2">
        <v>26</v>
      </c>
      <c r="C93" s="10" t="s">
        <v>80</v>
      </c>
      <c r="D93" s="10"/>
    </row>
    <row r="94" spans="1:4" x14ac:dyDescent="0.25">
      <c r="A94" s="2" t="s">
        <v>25</v>
      </c>
      <c r="B94" s="2">
        <v>1</v>
      </c>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21</v>
      </c>
      <c r="B99" s="48">
        <f>SUM(B84:B98)</f>
        <v>90</v>
      </c>
      <c r="C99" s="89" t="s">
        <v>51</v>
      </c>
      <c r="D99" s="49"/>
    </row>
    <row r="100" spans="1:4" ht="15" thickBot="1" x14ac:dyDescent="0.35">
      <c r="A100" s="50"/>
      <c r="B100" s="50"/>
      <c r="C100" s="50"/>
      <c r="D100" s="50"/>
    </row>
    <row r="101" spans="1:4" ht="18.75" thickBot="1" x14ac:dyDescent="0.3">
      <c r="A101" s="43" t="s">
        <v>13</v>
      </c>
      <c r="B101" s="44">
        <v>6</v>
      </c>
      <c r="C101" s="45" t="s">
        <v>22</v>
      </c>
      <c r="D101" s="54">
        <f>$D$82+7</f>
        <v>44984</v>
      </c>
    </row>
    <row r="102" spans="1:4" ht="27.75" thickBot="1" x14ac:dyDescent="0.3">
      <c r="A102" s="46" t="s">
        <v>2</v>
      </c>
      <c r="B102" s="47" t="s">
        <v>14</v>
      </c>
      <c r="C102" s="46" t="s">
        <v>6</v>
      </c>
      <c r="D102" s="46" t="s">
        <v>12</v>
      </c>
    </row>
    <row r="103" spans="1:4" x14ac:dyDescent="0.25">
      <c r="A103" s="111"/>
      <c r="B103" s="112"/>
      <c r="C103" s="113" t="s">
        <v>52</v>
      </c>
      <c r="D103" s="114"/>
    </row>
    <row r="104" spans="1:4" x14ac:dyDescent="0.25">
      <c r="A104" s="1" t="s">
        <v>28</v>
      </c>
      <c r="B104" s="2">
        <v>3</v>
      </c>
      <c r="C104" s="10" t="s">
        <v>93</v>
      </c>
      <c r="D104" s="10"/>
    </row>
    <row r="105" spans="1:4" ht="54" x14ac:dyDescent="0.25">
      <c r="A105" s="1" t="s">
        <v>33</v>
      </c>
      <c r="B105" s="2">
        <v>15</v>
      </c>
      <c r="C105" s="115" t="s">
        <v>94</v>
      </c>
      <c r="D105" s="10"/>
    </row>
    <row r="106" spans="1:4" ht="40.5" x14ac:dyDescent="0.25">
      <c r="A106" s="1" t="s">
        <v>34</v>
      </c>
      <c r="B106" s="2">
        <v>6</v>
      </c>
      <c r="C106" s="115" t="s">
        <v>95</v>
      </c>
      <c r="D106" s="10"/>
    </row>
    <row r="107" spans="1:4" x14ac:dyDescent="0.25">
      <c r="A107" s="111"/>
      <c r="B107" s="112"/>
      <c r="C107" s="113" t="s">
        <v>53</v>
      </c>
      <c r="D107" s="114"/>
    </row>
    <row r="108" spans="1:4" ht="81" x14ac:dyDescent="0.25">
      <c r="A108" s="1" t="s">
        <v>33</v>
      </c>
      <c r="B108" s="2">
        <v>18</v>
      </c>
      <c r="C108" s="10" t="s">
        <v>96</v>
      </c>
      <c r="D108" s="10" t="s">
        <v>97</v>
      </c>
    </row>
    <row r="109" spans="1:4" ht="40.5" x14ac:dyDescent="0.25">
      <c r="A109" s="1" t="s">
        <v>34</v>
      </c>
      <c r="B109" s="2">
        <v>5</v>
      </c>
      <c r="C109" s="10" t="s">
        <v>98</v>
      </c>
      <c r="D109" s="10"/>
    </row>
    <row r="110" spans="1:4" ht="27" x14ac:dyDescent="0.25">
      <c r="A110" s="1" t="s">
        <v>39</v>
      </c>
      <c r="B110" s="2">
        <v>3</v>
      </c>
      <c r="C110" s="10" t="s">
        <v>99</v>
      </c>
      <c r="D110" s="10"/>
    </row>
    <row r="111" spans="1:4" x14ac:dyDescent="0.25">
      <c r="A111" s="1" t="s">
        <v>25</v>
      </c>
      <c r="B111" s="2">
        <v>1</v>
      </c>
      <c r="C111" s="10"/>
      <c r="D111" s="10"/>
    </row>
    <row r="112" spans="1:4" x14ac:dyDescent="0.25">
      <c r="A112" s="112"/>
      <c r="B112" s="112"/>
      <c r="C112" s="113" t="s">
        <v>54</v>
      </c>
      <c r="D112" s="114"/>
    </row>
    <row r="113" spans="1:4" ht="54" x14ac:dyDescent="0.25">
      <c r="A113" s="1" t="s">
        <v>33</v>
      </c>
      <c r="B113" s="2">
        <v>2</v>
      </c>
      <c r="C113" s="10" t="s">
        <v>100</v>
      </c>
      <c r="D113" s="10"/>
    </row>
    <row r="114" spans="1:4" x14ac:dyDescent="0.25">
      <c r="A114" s="2"/>
      <c r="B114" s="2"/>
      <c r="C114" s="10"/>
      <c r="D114" s="10"/>
    </row>
    <row r="115" spans="1:4" x14ac:dyDescent="0.25">
      <c r="A115" s="2"/>
      <c r="B115" s="2"/>
      <c r="C115" s="10"/>
      <c r="D115" s="10"/>
    </row>
    <row r="116" spans="1:4" x14ac:dyDescent="0.25">
      <c r="A116" s="2"/>
      <c r="B116" s="2"/>
      <c r="C116" s="10"/>
      <c r="D116" s="10"/>
    </row>
    <row r="117" spans="1:4" x14ac:dyDescent="0.25">
      <c r="A117" s="51"/>
      <c r="B117" s="51"/>
      <c r="C117" s="52"/>
      <c r="D117" s="52"/>
    </row>
    <row r="118" spans="1:4" x14ac:dyDescent="0.25">
      <c r="A118" s="51"/>
      <c r="B118" s="51"/>
      <c r="C118" s="52"/>
      <c r="D118" s="52"/>
    </row>
    <row r="119" spans="1:4" ht="14.25" thickBot="1" x14ac:dyDescent="0.3">
      <c r="A119" s="3"/>
      <c r="B119" s="3"/>
      <c r="C119" s="11"/>
      <c r="D119" s="11"/>
    </row>
    <row r="120" spans="1:4" ht="14.25" thickBot="1" x14ac:dyDescent="0.3">
      <c r="A120" s="48" t="s">
        <v>21</v>
      </c>
      <c r="B120" s="48">
        <f>SUM(B103:B119)</f>
        <v>53</v>
      </c>
      <c r="C120" s="89" t="s">
        <v>51</v>
      </c>
      <c r="D120" s="49"/>
    </row>
    <row r="121" spans="1:4" ht="15" thickBot="1" x14ac:dyDescent="0.35">
      <c r="A121" s="50"/>
      <c r="B121" s="50"/>
      <c r="C121" s="50"/>
      <c r="D121" s="50"/>
    </row>
    <row r="122" spans="1:4" ht="18.75" thickBot="1" x14ac:dyDescent="0.3">
      <c r="A122" s="43" t="s">
        <v>13</v>
      </c>
      <c r="B122" s="44">
        <v>7</v>
      </c>
      <c r="C122" s="45" t="s">
        <v>22</v>
      </c>
      <c r="D122" s="54">
        <f>$D$101+7</f>
        <v>44991</v>
      </c>
    </row>
    <row r="123" spans="1:4" ht="27.75" thickBot="1" x14ac:dyDescent="0.3">
      <c r="A123" s="46" t="s">
        <v>2</v>
      </c>
      <c r="B123" s="47" t="s">
        <v>14</v>
      </c>
      <c r="C123" s="46" t="s">
        <v>6</v>
      </c>
      <c r="D123" s="46" t="s">
        <v>12</v>
      </c>
    </row>
    <row r="124" spans="1:4" x14ac:dyDescent="0.25">
      <c r="A124" s="5"/>
      <c r="B124" s="4"/>
      <c r="C124" s="9"/>
      <c r="D124" s="9"/>
    </row>
    <row r="125" spans="1:4" x14ac:dyDescent="0.25">
      <c r="A125" s="1"/>
      <c r="B125" s="2"/>
      <c r="C125" s="10"/>
      <c r="D125" s="10"/>
    </row>
    <row r="126" spans="1:4" x14ac:dyDescent="0.25">
      <c r="A126" s="1"/>
      <c r="B126" s="2"/>
      <c r="C126" s="10"/>
      <c r="D126" s="10"/>
    </row>
    <row r="127" spans="1:4" x14ac:dyDescent="0.25">
      <c r="A127" s="1"/>
      <c r="B127" s="2"/>
      <c r="C127" s="10"/>
      <c r="D127" s="10"/>
    </row>
    <row r="128" spans="1:4" x14ac:dyDescent="0.25">
      <c r="A128" s="1"/>
      <c r="B128" s="2"/>
      <c r="C128" s="10"/>
      <c r="D128" s="10"/>
    </row>
    <row r="129" spans="1:4" x14ac:dyDescent="0.25">
      <c r="A129" s="1"/>
      <c r="B129" s="2"/>
      <c r="C129" s="10"/>
      <c r="D129" s="10"/>
    </row>
    <row r="130" spans="1:4" x14ac:dyDescent="0.25">
      <c r="A130" s="1"/>
      <c r="B130" s="2"/>
      <c r="C130" s="10"/>
      <c r="D130" s="10"/>
    </row>
    <row r="131" spans="1:4" x14ac:dyDescent="0.25">
      <c r="A131" s="1"/>
      <c r="B131" s="2"/>
      <c r="C131" s="10"/>
      <c r="D131" s="10"/>
    </row>
    <row r="132" spans="1:4" x14ac:dyDescent="0.25">
      <c r="A132" s="1"/>
      <c r="B132" s="2"/>
      <c r="C132" s="10"/>
      <c r="D132" s="10"/>
    </row>
    <row r="133" spans="1:4" x14ac:dyDescent="0.25">
      <c r="A133" s="2"/>
      <c r="B133" s="2"/>
      <c r="C133" s="10"/>
      <c r="D133" s="10"/>
    </row>
    <row r="134" spans="1:4" x14ac:dyDescent="0.25">
      <c r="A134" s="2"/>
      <c r="B134" s="2"/>
      <c r="C134" s="10"/>
      <c r="D134" s="10"/>
    </row>
    <row r="135" spans="1:4" x14ac:dyDescent="0.25">
      <c r="A135" s="2"/>
      <c r="B135" s="2"/>
      <c r="C135" s="10"/>
      <c r="D135" s="10"/>
    </row>
    <row r="136" spans="1:4" x14ac:dyDescent="0.25">
      <c r="A136" s="51"/>
      <c r="B136" s="51"/>
      <c r="C136" s="52"/>
      <c r="D136" s="52"/>
    </row>
    <row r="137" spans="1:4" x14ac:dyDescent="0.25">
      <c r="A137" s="51"/>
      <c r="B137" s="51"/>
      <c r="C137" s="52"/>
      <c r="D137" s="52"/>
    </row>
    <row r="138" spans="1:4" ht="14.25" thickBot="1" x14ac:dyDescent="0.3">
      <c r="A138" s="3"/>
      <c r="B138" s="3"/>
      <c r="C138" s="11"/>
      <c r="D138" s="11"/>
    </row>
    <row r="139" spans="1:4" ht="14.25" thickBot="1" x14ac:dyDescent="0.3">
      <c r="A139" s="48" t="s">
        <v>21</v>
      </c>
      <c r="B139" s="48">
        <f>SUM(B124:B138)</f>
        <v>0</v>
      </c>
      <c r="C139" s="89" t="s">
        <v>51</v>
      </c>
      <c r="D139" s="49"/>
    </row>
    <row r="140" spans="1:4" ht="15" thickBot="1" x14ac:dyDescent="0.35">
      <c r="A140" s="50"/>
      <c r="B140" s="50"/>
      <c r="C140" s="50"/>
      <c r="D140" s="50"/>
    </row>
    <row r="141" spans="1:4" ht="18.75" thickBot="1" x14ac:dyDescent="0.3">
      <c r="A141" s="43" t="s">
        <v>13</v>
      </c>
      <c r="B141" s="44">
        <v>8</v>
      </c>
      <c r="C141" s="45" t="s">
        <v>22</v>
      </c>
      <c r="D141" s="54">
        <f>$D$122+7</f>
        <v>44998</v>
      </c>
    </row>
    <row r="142" spans="1:4" ht="27.75" thickBot="1" x14ac:dyDescent="0.3">
      <c r="A142" s="46" t="s">
        <v>2</v>
      </c>
      <c r="B142" s="47" t="s">
        <v>14</v>
      </c>
      <c r="C142" s="46" t="s">
        <v>6</v>
      </c>
      <c r="D142" s="46" t="s">
        <v>12</v>
      </c>
    </row>
    <row r="143" spans="1:4" x14ac:dyDescent="0.25">
      <c r="A143" s="5"/>
      <c r="B143" s="4"/>
      <c r="C143" s="9"/>
      <c r="D143" s="9"/>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1"/>
      <c r="B150" s="2"/>
      <c r="C150" s="10"/>
      <c r="D150" s="10"/>
    </row>
    <row r="151" spans="1:4" x14ac:dyDescent="0.25">
      <c r="A151" s="1"/>
      <c r="B151" s="2"/>
      <c r="C151" s="10"/>
      <c r="D151" s="10"/>
    </row>
    <row r="152" spans="1:4" x14ac:dyDescent="0.25">
      <c r="A152" s="2"/>
      <c r="B152" s="2"/>
      <c r="C152" s="10"/>
      <c r="D152" s="10"/>
    </row>
    <row r="153" spans="1:4" x14ac:dyDescent="0.25">
      <c r="A153" s="2"/>
      <c r="B153" s="2"/>
      <c r="C153" s="10"/>
      <c r="D153" s="10"/>
    </row>
    <row r="154" spans="1:4" x14ac:dyDescent="0.25">
      <c r="A154" s="2"/>
      <c r="B154" s="2"/>
      <c r="C154" s="10"/>
      <c r="D154" s="10"/>
    </row>
    <row r="155" spans="1:4" x14ac:dyDescent="0.25">
      <c r="A155" s="51"/>
      <c r="B155" s="51"/>
      <c r="C155" s="52"/>
      <c r="D155" s="52"/>
    </row>
    <row r="156" spans="1:4" x14ac:dyDescent="0.25">
      <c r="A156" s="51"/>
      <c r="B156" s="51"/>
      <c r="C156" s="52"/>
      <c r="D156" s="52"/>
    </row>
    <row r="157" spans="1:4" ht="14.25" thickBot="1" x14ac:dyDescent="0.3">
      <c r="A157" s="3"/>
      <c r="B157" s="3"/>
      <c r="C157" s="11"/>
      <c r="D157" s="11"/>
    </row>
    <row r="158" spans="1:4" ht="14.25" thickBot="1" x14ac:dyDescent="0.3">
      <c r="A158" s="48" t="s">
        <v>21</v>
      </c>
      <c r="B158" s="48">
        <f>SUM(B143:B157)</f>
        <v>0</v>
      </c>
      <c r="C158" s="89" t="s">
        <v>51</v>
      </c>
      <c r="D158" s="49"/>
    </row>
    <row r="159" spans="1:4" ht="15" thickBot="1" x14ac:dyDescent="0.35">
      <c r="A159" s="50"/>
      <c r="B159" s="50"/>
      <c r="C159" s="50"/>
      <c r="D159" s="50"/>
    </row>
    <row r="160" spans="1:4" ht="18.75" thickBot="1" x14ac:dyDescent="0.3">
      <c r="A160" s="43" t="s">
        <v>13</v>
      </c>
      <c r="B160" s="44">
        <v>9</v>
      </c>
      <c r="C160" s="45" t="s">
        <v>22</v>
      </c>
      <c r="D160" s="54">
        <f>$D$141+7</f>
        <v>45005</v>
      </c>
    </row>
    <row r="161" spans="1:4" ht="27.75" thickBot="1" x14ac:dyDescent="0.3">
      <c r="A161" s="46" t="s">
        <v>2</v>
      </c>
      <c r="B161" s="47" t="s">
        <v>14</v>
      </c>
      <c r="C161" s="46" t="s">
        <v>6</v>
      </c>
      <c r="D161" s="46" t="s">
        <v>12</v>
      </c>
    </row>
    <row r="162" spans="1:4" x14ac:dyDescent="0.25">
      <c r="A162" s="5"/>
      <c r="B162" s="4"/>
      <c r="C162" s="9"/>
      <c r="D162" s="9"/>
    </row>
    <row r="163" spans="1:4" x14ac:dyDescent="0.25">
      <c r="A163" s="1"/>
      <c r="B163" s="2"/>
      <c r="C163" s="10"/>
      <c r="D163" s="10"/>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1"/>
      <c r="B169" s="2"/>
      <c r="C169" s="10"/>
      <c r="D169" s="10"/>
    </row>
    <row r="170" spans="1:4" x14ac:dyDescent="0.25">
      <c r="A170" s="1"/>
      <c r="B170" s="2"/>
      <c r="C170" s="10"/>
      <c r="D170" s="10"/>
    </row>
    <row r="171" spans="1:4" x14ac:dyDescent="0.25">
      <c r="A171" s="2"/>
      <c r="B171" s="2"/>
      <c r="C171" s="10"/>
      <c r="D171" s="10"/>
    </row>
    <row r="172" spans="1:4" x14ac:dyDescent="0.25">
      <c r="A172" s="2"/>
      <c r="B172" s="2"/>
      <c r="C172" s="10"/>
      <c r="D172" s="10"/>
    </row>
    <row r="173" spans="1:4" x14ac:dyDescent="0.25">
      <c r="A173" s="2"/>
      <c r="B173" s="2"/>
      <c r="C173" s="10"/>
      <c r="D173" s="10"/>
    </row>
    <row r="174" spans="1:4" x14ac:dyDescent="0.25">
      <c r="A174" s="51"/>
      <c r="B174" s="51"/>
      <c r="C174" s="52"/>
      <c r="D174" s="52"/>
    </row>
    <row r="175" spans="1:4" x14ac:dyDescent="0.25">
      <c r="A175" s="51"/>
      <c r="B175" s="51"/>
      <c r="C175" s="52"/>
      <c r="D175" s="52"/>
    </row>
    <row r="176" spans="1:4" ht="14.25" thickBot="1" x14ac:dyDescent="0.3">
      <c r="A176" s="3"/>
      <c r="B176" s="3"/>
      <c r="C176" s="11"/>
      <c r="D176" s="11"/>
    </row>
    <row r="177" spans="1:4" ht="14.25" thickBot="1" x14ac:dyDescent="0.3">
      <c r="A177" s="48" t="s">
        <v>21</v>
      </c>
      <c r="B177" s="48">
        <f>SUM(B162:B176)</f>
        <v>0</v>
      </c>
      <c r="C177" s="89" t="s">
        <v>51</v>
      </c>
      <c r="D177" s="49"/>
    </row>
    <row r="178" spans="1:4" ht="15" thickBot="1" x14ac:dyDescent="0.35">
      <c r="A178" s="50"/>
      <c r="B178" s="50"/>
      <c r="C178" s="50"/>
      <c r="D178" s="50"/>
    </row>
    <row r="179" spans="1:4" ht="18.75" thickBot="1" x14ac:dyDescent="0.3">
      <c r="A179" s="43" t="s">
        <v>13</v>
      </c>
      <c r="B179" s="44">
        <v>10</v>
      </c>
      <c r="C179" s="45" t="s">
        <v>22</v>
      </c>
      <c r="D179" s="54">
        <f>$D$160+7</f>
        <v>45012</v>
      </c>
    </row>
    <row r="180" spans="1:4" ht="27.75" thickBot="1" x14ac:dyDescent="0.3">
      <c r="A180" s="46" t="s">
        <v>2</v>
      </c>
      <c r="B180" s="47" t="s">
        <v>14</v>
      </c>
      <c r="C180" s="46" t="s">
        <v>6</v>
      </c>
      <c r="D180" s="46" t="s">
        <v>12</v>
      </c>
    </row>
    <row r="181" spans="1:4" x14ac:dyDescent="0.25">
      <c r="A181" s="5"/>
      <c r="B181" s="4"/>
      <c r="C181" s="9"/>
      <c r="D181" s="9"/>
    </row>
    <row r="182" spans="1:4" x14ac:dyDescent="0.25">
      <c r="A182" s="1"/>
      <c r="B182" s="2"/>
      <c r="C182" s="10"/>
      <c r="D182" s="10"/>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1"/>
      <c r="B188" s="2"/>
      <c r="C188" s="10"/>
      <c r="D188" s="10"/>
    </row>
    <row r="189" spans="1:4" x14ac:dyDescent="0.25">
      <c r="A189" s="1"/>
      <c r="B189" s="2"/>
      <c r="C189" s="10"/>
      <c r="D189" s="10"/>
    </row>
    <row r="190" spans="1:4" x14ac:dyDescent="0.25">
      <c r="A190" s="2"/>
      <c r="B190" s="2"/>
      <c r="C190" s="10"/>
      <c r="D190" s="10"/>
    </row>
    <row r="191" spans="1:4" x14ac:dyDescent="0.25">
      <c r="A191" s="2"/>
      <c r="B191" s="2"/>
      <c r="C191" s="10"/>
      <c r="D191" s="10"/>
    </row>
    <row r="192" spans="1:4" x14ac:dyDescent="0.25">
      <c r="A192" s="2"/>
      <c r="B192" s="2"/>
      <c r="C192" s="10"/>
      <c r="D192" s="10"/>
    </row>
    <row r="193" spans="1:4" x14ac:dyDescent="0.25">
      <c r="A193" s="51"/>
      <c r="B193" s="51"/>
      <c r="C193" s="52"/>
      <c r="D193" s="52"/>
    </row>
    <row r="194" spans="1:4" x14ac:dyDescent="0.25">
      <c r="A194" s="51"/>
      <c r="B194" s="51"/>
      <c r="C194" s="52"/>
      <c r="D194" s="52"/>
    </row>
    <row r="195" spans="1:4" ht="14.25" thickBot="1" x14ac:dyDescent="0.3">
      <c r="A195" s="3"/>
      <c r="B195" s="3"/>
      <c r="C195" s="11"/>
      <c r="D195" s="11"/>
    </row>
    <row r="196" spans="1:4" ht="14.25" thickBot="1" x14ac:dyDescent="0.3">
      <c r="A196" s="48" t="s">
        <v>21</v>
      </c>
      <c r="B196" s="48">
        <f>SUM(B181:B195)</f>
        <v>0</v>
      </c>
      <c r="C196" s="89" t="s">
        <v>51</v>
      </c>
      <c r="D196" s="49"/>
    </row>
    <row r="197" spans="1:4" ht="14.25" x14ac:dyDescent="0.3">
      <c r="A197" s="50"/>
      <c r="B197" s="50"/>
      <c r="C197" s="50"/>
      <c r="D197" s="50"/>
    </row>
    <row r="198" spans="1:4" x14ac:dyDescent="0.25">
      <c r="A198" s="88" t="s">
        <v>29</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F43" xr:uid="{004FD5F8-901C-498C-ABDE-E1C384ECCD81}">
      <formula1>0</formula1>
      <formula2>DureePeriode-1</formula2>
    </dataValidation>
    <dataValidation type="whole" errorStyle="warning" operator="greaterThan" allowBlank="1" showInputMessage="1" showErrorMessage="1" errorTitle="Durée en 1/3 de période" error="Le nombre doit être de type entier" sqref="F32:F39 B43:B44 B49:B67 B84:B98 B124:B138 B143:B157 B162:B176 B181:B195 B3:B22 B27:B41 B72:B79 B103:B119" xr:uid="{45A19F42-9A36-4EE5-9929-C06415CD7C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5 B68 B80 B99 B120 B139 B158 B177 B196" xr:uid="{AC09EF01-5E22-4EA1-BB83-D8349F85B499}">
      <formula1>0</formula1>
      <formula2>NbPerWeek * NbQuartPer</formula2>
    </dataValidation>
    <dataValidation type="list" allowBlank="1" showInputMessage="1" showErrorMessage="1" sqref="A27:A44 A49:A67 A84:A98 A124:A138 A143:A157 A162:A176 A181:A195 A3:A22 B42 A72:A79 A103:A119" xr:uid="{F91521C7-0CBA-41E4-83C5-AAFA0A51704E}">
      <formula1>lstTasks</formula1>
    </dataValidation>
  </dataValidations>
  <hyperlinks>
    <hyperlink ref="D9" r:id="rId1" xr:uid="{855181E2-3F3C-4DF0-B741-18A20277C234}"/>
    <hyperlink ref="D10" r:id="rId2" xr:uid="{9E4CDB42-0B15-49FA-AE14-7FF4EBEEA957}"/>
    <hyperlink ref="D12" r:id="rId3" display="https://techexpert.tips/powershell/powershell-creating-excel-file/" xr:uid="{A285C69D-09E8-4CC1-99F3-55B38B098614}"/>
    <hyperlink ref="D19" r:id="rId4" xr:uid="{9F06E4B1-265B-4800-8D1F-2C1E75BC7E6D}"/>
    <hyperlink ref="D32" r:id="rId5" xr:uid="{E4D439B0-C8C6-4908-8ADB-BEE5105C5996}"/>
    <hyperlink ref="D41" r:id="rId6" display="https://stackoverflow.com/questions/3226096/copy-excel-worksheet-from-one-workbook-to-another-with-powershell" xr:uid="{D4001275-D009-4F9F-8FE5-76C35D2A26C0}"/>
    <hyperlink ref="D50" r:id="rId7" display="https://support.microsoft.com/en-us/topic/macro-to-loop-through-all-worksheets-in-a-workbook-feef14e3-97cf-00e2-538b-5da40186e2b0" xr:uid="{7FB4CE0B-486F-4F76-BEB4-656E6C527B2B}"/>
    <hyperlink ref="D89" r:id="rId8" display="https://learn.microsoft.com/en-us/powershell/scripting/samples/creating-a-custom-input-box?view=powershell-7.3" xr:uid="{9BD76C1D-D2C7-4E2D-A3B7-917542FF9FA8}"/>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64513" r:id="rId12" name="btnImportRealisation">
          <controlPr defaultSize="0" autoLine="0" r:id="rId13">
            <anchor moveWithCells="1">
              <from>
                <xdr:col>4</xdr:col>
                <xdr:colOff>590550</xdr:colOff>
                <xdr:row>0</xdr:row>
                <xdr:rowOff>180975</xdr:rowOff>
              </from>
              <to>
                <xdr:col>7</xdr:col>
                <xdr:colOff>257175</xdr:colOff>
                <xdr:row>2</xdr:row>
                <xdr:rowOff>152400</xdr:rowOff>
              </to>
            </anchor>
          </controlPr>
        </control>
      </mc:Choice>
      <mc:Fallback>
        <control shapeId="64513" r:id="rId12" name="btnImportRealisation"/>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sheetPr codeName="Feuil3"/>
  <dimension ref="B2:AL14"/>
  <sheetViews>
    <sheetView workbookViewId="0">
      <selection activeCell="F4" sqref="F4"/>
    </sheetView>
  </sheetViews>
  <sheetFormatPr baseColWidth="10" defaultRowHeight="13.5" x14ac:dyDescent="0.25"/>
  <cols>
    <col min="2" max="2" width="31" customWidth="1"/>
    <col min="3" max="38" width="3.7109375" customWidth="1"/>
    <col min="39" max="40" width="11.42578125" customWidth="1"/>
  </cols>
  <sheetData>
    <row r="2" spans="2:38" x14ac:dyDescent="0.25">
      <c r="C2" s="125">
        <v>44949</v>
      </c>
      <c r="D2" s="125"/>
      <c r="E2" s="125"/>
      <c r="F2" s="125"/>
      <c r="G2" s="125">
        <v>44956</v>
      </c>
      <c r="H2" s="125"/>
      <c r="I2" s="125"/>
      <c r="J2" s="125"/>
      <c r="K2" s="125">
        <v>44963</v>
      </c>
      <c r="L2" s="125"/>
      <c r="M2" s="125"/>
      <c r="N2" s="125"/>
      <c r="O2" s="125">
        <v>44970</v>
      </c>
      <c r="P2" s="125"/>
      <c r="Q2" s="125"/>
      <c r="R2" s="125"/>
      <c r="S2" s="125">
        <v>44977</v>
      </c>
      <c r="T2" s="125"/>
      <c r="U2" s="125"/>
      <c r="V2" s="125"/>
      <c r="W2" s="125">
        <v>44984</v>
      </c>
      <c r="X2" s="125"/>
      <c r="Y2" s="125"/>
      <c r="Z2" s="125"/>
      <c r="AA2" s="125">
        <v>44991</v>
      </c>
      <c r="AB2" s="125"/>
      <c r="AC2" s="125"/>
      <c r="AD2" s="125"/>
      <c r="AE2" s="125">
        <v>44998</v>
      </c>
      <c r="AF2" s="125"/>
      <c r="AG2" s="125"/>
      <c r="AH2" s="125"/>
      <c r="AI2" s="125">
        <v>45005</v>
      </c>
      <c r="AJ2" s="125"/>
      <c r="AK2" s="125"/>
      <c r="AL2" s="125"/>
    </row>
    <row r="3" spans="2:38" ht="14.25" thickBot="1" x14ac:dyDescent="0.3">
      <c r="C3" s="124" t="s">
        <v>41</v>
      </c>
      <c r="D3" s="124"/>
      <c r="E3" s="124"/>
      <c r="F3" s="124"/>
      <c r="G3" s="124" t="s">
        <v>42</v>
      </c>
      <c r="H3" s="124"/>
      <c r="I3" s="124"/>
      <c r="J3" s="124"/>
      <c r="K3" s="124" t="s">
        <v>43</v>
      </c>
      <c r="L3" s="124"/>
      <c r="M3" s="124"/>
      <c r="N3" s="124"/>
      <c r="O3" s="124" t="s">
        <v>44</v>
      </c>
      <c r="P3" s="124"/>
      <c r="Q3" s="124"/>
      <c r="R3" s="124"/>
      <c r="S3" s="124" t="s">
        <v>45</v>
      </c>
      <c r="T3" s="124"/>
      <c r="U3" s="124"/>
      <c r="V3" s="124"/>
      <c r="W3" s="124" t="s">
        <v>46</v>
      </c>
      <c r="X3" s="124"/>
      <c r="Y3" s="124"/>
      <c r="Z3" s="124"/>
      <c r="AA3" s="124" t="s">
        <v>47</v>
      </c>
      <c r="AB3" s="124"/>
      <c r="AC3" s="124"/>
      <c r="AD3" s="124"/>
      <c r="AE3" s="124" t="s">
        <v>48</v>
      </c>
      <c r="AF3" s="124"/>
      <c r="AG3" s="124"/>
      <c r="AH3" s="124"/>
      <c r="AI3" s="124" t="s">
        <v>49</v>
      </c>
      <c r="AJ3" s="124"/>
      <c r="AK3" s="124"/>
      <c r="AL3" s="124"/>
    </row>
    <row r="4" spans="2:38" ht="30" customHeight="1" x14ac:dyDescent="0.25">
      <c r="B4" s="91" t="s">
        <v>30</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31</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32</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33</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34</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35</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39</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38</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28</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26</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27</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W2:Z2"/>
    <mergeCell ref="AE2:AH2"/>
    <mergeCell ref="AI2:AL2"/>
    <mergeCell ref="W3:Z3"/>
    <mergeCell ref="AA3:AD3"/>
    <mergeCell ref="AE3:AH3"/>
    <mergeCell ref="AI3:AL3"/>
    <mergeCell ref="AA2:AD2"/>
    <mergeCell ref="S3:V3"/>
    <mergeCell ref="C3:F3"/>
    <mergeCell ref="C2:F2"/>
    <mergeCell ref="G3:J3"/>
    <mergeCell ref="K3:N3"/>
    <mergeCell ref="O3:R3"/>
    <mergeCell ref="G2:J2"/>
    <mergeCell ref="K2:N2"/>
    <mergeCell ref="O2:R2"/>
    <mergeCell ref="S2:V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customXml/itemProps2.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79CA8D3-86C8-4C18-8AF8-8AB81EA1809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10</vt:i4>
      </vt:variant>
    </vt:vector>
  </HeadingPairs>
  <TitlesOfParts>
    <vt:vector size="17" baseType="lpstr">
      <vt:lpstr>Donnees</vt:lpstr>
      <vt:lpstr>DiagramHeader</vt:lpstr>
      <vt:lpstr>DiagramFooter</vt:lpstr>
      <vt:lpstr>PlanificationWeek</vt:lpstr>
      <vt:lpstr>achievementWeek</vt:lpstr>
      <vt:lpstr>JNLTRAV</vt:lpstr>
      <vt:lpstr>Planification Initiale</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2023-03-02T12:23:07Z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