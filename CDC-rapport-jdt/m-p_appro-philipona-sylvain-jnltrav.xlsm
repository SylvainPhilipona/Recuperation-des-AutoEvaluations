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ADF54DE8-73C3-4C06-842B-A7B55E189438}" xr6:coauthVersionLast="45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7" i="171" s="1"/>
  <c r="D66" i="171" s="1"/>
  <c r="D85" i="171" s="1"/>
  <c r="D104" i="171" s="1"/>
  <c r="D123" i="171" s="1"/>
  <c r="D142" i="171" s="1"/>
  <c r="D161" i="171" s="1"/>
  <c r="D180" i="171" s="1"/>
  <c r="B197" i="171"/>
  <c r="B178" i="171"/>
  <c r="B159" i="171"/>
  <c r="B140" i="171"/>
  <c r="B121" i="171"/>
  <c r="B102" i="171"/>
  <c r="B83" i="171"/>
  <c r="B64" i="171"/>
  <c r="B45" i="171"/>
  <c r="B23" i="171"/>
  <c r="B18" i="154" l="1"/>
  <c r="B13" i="11" l="1"/>
</calcChain>
</file>

<file path=xl/sharedStrings.xml><?xml version="1.0" encoding="utf-8"?>
<sst xmlns="http://schemas.openxmlformats.org/spreadsheetml/2006/main" count="214" uniqueCount="84">
  <si>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</si>
  <si>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</si>
  <si>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</si>
  <si>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</si>
  <si>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</si>
  <si>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</si>
  <si>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</si>
  <si>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</si>
  <si>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</si>
  <si>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</si>
  <si>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</si>
  <si>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</si>
  <si>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</si>
  <si>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</si>
  <si>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</si>
  <si>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</si>
  <si>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</si>
  <si>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</si>
  <si>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</si>
  <si>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</si>
  <si>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</si>
  <si>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</si>
  <si>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</si>
  <si>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</si>
  <si>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</si>
  <si>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</si>
  <si>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</si>
  <si>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</si>
  <si>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</si>
  <si>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</si>
  <si>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</si>
  <si>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</si>
  <si>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</si>
  <si>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</si>
  <si>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</si>
  <si>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</si>
  <si>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</si>
  <si>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</si>
  <si>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</si>
  <si>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</si>
  <si>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</si>
  <si>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</si>
  <si>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</si>
  <si>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</si>
  <si>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</si>
  <si>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</si>
  <si>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</si>
  <si>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</si>
  <si>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</si>
  <si>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</si>
  <si>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</si>
  <si>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</si>
  <si>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</si>
  <si>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</si>
  <si>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</si>
  <si>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</si>
  <si>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</si>
  <si>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</si>
  <si>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</si>
  <si>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</si>
  <si>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</si>
  <si>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</si>
  <si>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</si>
  <si>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</si>
  <si>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</si>
  <si>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</si>
  <si>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</si>
  <si>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</si>
  <si>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</si>
  <si>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</si>
  <si>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</si>
  <si>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http://ramblingcookiemonster.github.io/PowerShell-Configuration-Data/
https://learn.microsoft.com/en-us/powershell/scripting/developer/module/how-to-write-a-powershell-module-manifest?view=powershell-7.3 
https://social.technet.microsoft.com/Forums/office/en-US/e5d8594b-b14b-4a54-913c-61089b5d9ab4/release-or-delete-a-com-object-from-powershell?forum=winserverpowershell
https://learn.microsoft.com/en-us/powershell/module/microsoft.powershell.host/start-transcript?view=powershell-7.3
https://learn-powershell.net/2015/04/09/quick-hits-finding-exception-types-with-powershell/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</si>
  <si>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</si>
  <si>
    <t>• Test de la génération des auto evals sur 2 machines de l'etml et une VM</t>
  </si>
  <si>
    <t>• Discussion avec M-Gruaz à propos du projet</t>
  </si>
  <si>
    <t>• Cours se finissant plus tôt
• Assiatance au projet de Dorian Capelli
• Assistance au projet de Joca Bolli</t>
  </si>
  <si>
    <t xml:space="preserve">https://stackoverflow.com/questions/41700636/get-childitem-doesnt-work-with-include
</t>
  </si>
  <si>
    <t>• Optimisation de la gestions d'erreurs
• Récupération des auto évaluations dans un dossier</t>
  </si>
  <si>
    <t>• Ajout d'une fontion de recherche de cellule par nom</t>
  </si>
  <si>
    <t>• https://stackoverflow.com/questions/3226096/copy-excel-worksheet-from-one-workbook-to-another-with-powershell
• https://learn.microsoft.com/en-us/answers/questions/864246/powershell-vba-and-excel</t>
  </si>
  <si>
    <t>• Récupération des données et des notes des auto evals
• Mise en commun des AutoEvals dans un seul fichier
• Problème de liaision de fichiers excel</t>
  </si>
  <si>
    <t>• Rapport</t>
  </si>
  <si>
    <t>• Résolution d'un problème de liaisons de fichier Excel lors de la génération de la synthèse
Modification de la création de la synthèse : Les auto evals sont copiés dans le fichier modèle puis ce fichiers est "Save As" pour créer le fichier final
• Création d'une macro pour rapatrier les notes</t>
  </si>
  <si>
    <t>https://support.microsoft.com/en-us/topic/macro-to-loop-through-all-worksheets-in-a-workbook-feef14e3-97cf-00e2-538b-5da40186e2b0
https://vbaf1.com/table/clear-table-content/
https://www.automateexcel.com/vba/string-data-type/
https://officetuts.net/excel/vba/add-data-to-table-using-vba/
https://support.microsoft.com/en-us/topic/macro-to-loop-through-all-worksheets-in-a-workbook-feef14e3-97cf-00e2-538b-5da40186e2b0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</si>
</sst>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8" fillId="0" borderId="2" xfId="1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hyperlink" Target="https://support.microsoft.com/en-us/topic/macro-to-loop-through-all-worksheets-in-a-workbook-feef14e3-97cf-00e2-538b-5da40186e2b0" TargetMode="External"/><Relationship Id="rId12" Type="http://schemas.openxmlformats.org/officeDocument/2006/relationships/image" Target="../media/image7.emf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hyperlink" Target="https://stackoverflow.com/questions/3226096/copy-excel-worksheet-from-one-workbook-to-another-with-powershell" TargetMode="External"/><Relationship Id="rId11" Type="http://schemas.openxmlformats.org/officeDocument/2006/relationships/control" Target="../activeX/activeX6.xml"/><Relationship Id="rId5" Type="http://schemas.openxmlformats.org/officeDocument/2006/relationships/hyperlink" Target="https://stackoverflow.com/questions/41700636/get-childitem-doesnt-work-with-include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18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2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9"/>
  <sheetViews>
    <sheetView tabSelected="1" topLeftCell="A44" workbookViewId="0">
      <selection activeCell="D51" sqref="D5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70" x14ac:dyDescent="0.25">
      <c r="A28" s="1" t="s">
        <v>33</v>
      </c>
      <c r="B28" s="2">
        <v>20</v>
      </c>
      <c r="C28" s="10" t="s">
        <v>72</v>
      </c>
      <c r="D28" s="10" t="s">
        <v>71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11"/>
      <c r="B31" s="112"/>
      <c r="C31" s="113" t="s">
        <v>53</v>
      </c>
      <c r="D31" s="114"/>
      <c r="E31" s="20"/>
      <c r="F31" s="35"/>
      <c r="G31" s="31"/>
      <c r="H31" s="31"/>
      <c r="I31" s="20"/>
    </row>
    <row r="32" spans="1:9" ht="54" x14ac:dyDescent="0.25">
      <c r="A32" s="1" t="s">
        <v>33</v>
      </c>
      <c r="B32" s="2">
        <v>11</v>
      </c>
      <c r="C32" s="119" t="s">
        <v>77</v>
      </c>
      <c r="D32" s="90" t="s">
        <v>76</v>
      </c>
      <c r="E32" s="20"/>
      <c r="F32" s="37"/>
      <c r="G32" s="38"/>
      <c r="H32" s="38"/>
      <c r="I32" s="20"/>
    </row>
    <row r="33" spans="1:9" ht="27" x14ac:dyDescent="0.25">
      <c r="A33" s="1" t="s">
        <v>30</v>
      </c>
      <c r="B33" s="2">
        <v>2</v>
      </c>
      <c r="C33" s="10" t="s">
        <v>74</v>
      </c>
      <c r="D33" s="10"/>
      <c r="E33" s="20"/>
      <c r="F33" s="37"/>
      <c r="G33" s="38"/>
      <c r="H33" s="38"/>
      <c r="I33" s="20"/>
    </row>
    <row r="34" spans="1:9" ht="40.5" x14ac:dyDescent="0.25">
      <c r="A34" s="1" t="s">
        <v>28</v>
      </c>
      <c r="B34" s="2">
        <v>9</v>
      </c>
      <c r="C34" s="10" t="s">
        <v>75</v>
      </c>
      <c r="D34" s="10"/>
      <c r="E34" s="20"/>
      <c r="F34" s="37"/>
      <c r="G34" s="38"/>
      <c r="H34" s="38"/>
      <c r="I34" s="20"/>
    </row>
    <row r="35" spans="1:9" ht="40.5" x14ac:dyDescent="0.25">
      <c r="A35" s="1" t="s">
        <v>34</v>
      </c>
      <c r="B35" s="2">
        <v>4</v>
      </c>
      <c r="C35" s="10" t="s">
        <v>73</v>
      </c>
      <c r="D35" s="10"/>
      <c r="E35" s="20"/>
      <c r="F35" s="37"/>
      <c r="G35" s="38"/>
      <c r="H35" s="38"/>
      <c r="I35" s="20"/>
    </row>
    <row r="36" spans="1:9" x14ac:dyDescent="0.25">
      <c r="A36" s="2" t="s">
        <v>25</v>
      </c>
      <c r="B36" s="2">
        <v>1</v>
      </c>
      <c r="C36" s="10"/>
      <c r="D36" s="10"/>
      <c r="E36" s="20"/>
      <c r="F36" s="37"/>
      <c r="G36" s="38"/>
      <c r="H36" s="38"/>
      <c r="I36" s="20"/>
    </row>
    <row r="37" spans="1:9" x14ac:dyDescent="0.25">
      <c r="A37" s="112"/>
      <c r="B37" s="112"/>
      <c r="C37" s="113" t="s">
        <v>54</v>
      </c>
      <c r="D37" s="114"/>
      <c r="E37" s="20"/>
      <c r="F37" s="37"/>
      <c r="G37" s="38"/>
      <c r="H37" s="38"/>
      <c r="I37" s="20"/>
    </row>
    <row r="38" spans="1:9" x14ac:dyDescent="0.25">
      <c r="A38" s="2" t="s">
        <v>25</v>
      </c>
      <c r="B38" s="2">
        <v>2</v>
      </c>
      <c r="C38" s="10"/>
      <c r="D38" s="10"/>
      <c r="E38" s="20"/>
      <c r="F38" s="37"/>
      <c r="G38" s="38"/>
      <c r="H38" s="38"/>
      <c r="I38" s="20"/>
    </row>
    <row r="39" spans="1:9" ht="54" x14ac:dyDescent="0.25">
      <c r="A39" s="51" t="s">
        <v>33</v>
      </c>
      <c r="B39" s="51">
        <v>10</v>
      </c>
      <c r="C39" s="52" t="s">
        <v>78</v>
      </c>
      <c r="D39" s="52"/>
      <c r="E39" s="20"/>
      <c r="F39" s="37"/>
      <c r="G39" s="38"/>
      <c r="H39" s="38"/>
      <c r="I39" s="20"/>
    </row>
    <row r="40" spans="1:9" x14ac:dyDescent="0.25">
      <c r="A40" s="112"/>
      <c r="B40" s="112"/>
      <c r="C40" s="113" t="s">
        <v>55</v>
      </c>
      <c r="D40" s="114"/>
      <c r="E40" s="20"/>
      <c r="F40" s="39"/>
      <c r="G40" s="40"/>
      <c r="H40" s="40"/>
      <c r="I40" s="20"/>
    </row>
    <row r="41" spans="1:9" ht="89.25" x14ac:dyDescent="0.25">
      <c r="A41" s="51" t="s">
        <v>33</v>
      </c>
      <c r="B41" s="51">
        <v>19</v>
      </c>
      <c r="C41" s="52" t="s">
        <v>80</v>
      </c>
      <c r="D41" s="118" t="s">
        <v>79</v>
      </c>
      <c r="E41" s="20"/>
      <c r="F41" s="39"/>
      <c r="G41" s="40"/>
      <c r="H41" s="40"/>
      <c r="I41" s="20"/>
    </row>
    <row r="42" spans="1:9" ht="27" x14ac:dyDescent="0.25">
      <c r="A42" s="51" t="s">
        <v>39</v>
      </c>
      <c r="B42" s="51">
        <v>8</v>
      </c>
      <c r="C42" s="52" t="s">
        <v>81</v>
      </c>
      <c r="D42" s="52"/>
      <c r="E42" s="20"/>
      <c r="F42" s="39"/>
      <c r="G42" s="40"/>
      <c r="H42" s="40"/>
      <c r="I42" s="20"/>
    </row>
    <row r="43" spans="1:9" x14ac:dyDescent="0.25">
      <c r="A43" s="51"/>
      <c r="B43" s="51"/>
      <c r="C43" s="52"/>
      <c r="D43" s="52"/>
      <c r="E43" s="20"/>
      <c r="F43" s="39"/>
      <c r="G43" s="40"/>
      <c r="H43" s="40"/>
      <c r="I43" s="20"/>
    </row>
    <row r="44" spans="1:9" ht="15" thickBot="1" x14ac:dyDescent="0.35">
      <c r="A44" s="3"/>
      <c r="B44" s="3"/>
      <c r="C44" s="11"/>
      <c r="D44" s="11"/>
      <c r="E44" s="20"/>
      <c r="F44" s="41"/>
      <c r="G44" s="41"/>
      <c r="H44" s="41"/>
      <c r="I44" s="20"/>
    </row>
    <row r="45" spans="1:9" ht="14.25" thickBot="1" x14ac:dyDescent="0.3">
      <c r="A45" s="48" t="s">
        <v>21</v>
      </c>
      <c r="B45" s="48">
        <f>SUM(B27:B44)</f>
        <v>90</v>
      </c>
      <c r="C45" s="89" t="s">
        <v>51</v>
      </c>
      <c r="D45" s="49"/>
      <c r="E45" s="20"/>
      <c r="F45" s="20"/>
      <c r="G45" s="20"/>
      <c r="H45" s="20"/>
      <c r="I45" s="20"/>
    </row>
    <row r="46" spans="1:9" ht="15" thickBot="1" x14ac:dyDescent="0.35">
      <c r="A46" s="50"/>
      <c r="B46" s="50"/>
      <c r="C46" s="50"/>
      <c r="D46" s="50"/>
      <c r="E46" s="20"/>
      <c r="F46" s="20"/>
      <c r="G46" s="20"/>
      <c r="H46" s="20"/>
      <c r="I46" s="20"/>
    </row>
    <row r="47" spans="1:9" ht="18.75" thickBot="1" x14ac:dyDescent="0.3">
      <c r="A47" s="43" t="s">
        <v>13</v>
      </c>
      <c r="B47" s="44">
        <v>3</v>
      </c>
      <c r="C47" s="45" t="s">
        <v>22</v>
      </c>
      <c r="D47" s="54">
        <f>$D$25+7</f>
        <v>44963</v>
      </c>
      <c r="E47" s="20"/>
      <c r="F47" s="20"/>
      <c r="G47" s="20"/>
      <c r="H47" s="20"/>
      <c r="I47" s="20"/>
    </row>
    <row r="48" spans="1:9" ht="27.75" thickBot="1" x14ac:dyDescent="0.3">
      <c r="A48" s="46" t="s">
        <v>2</v>
      </c>
      <c r="B48" s="47" t="s">
        <v>14</v>
      </c>
      <c r="C48" s="46" t="s">
        <v>6</v>
      </c>
      <c r="D48" s="46" t="s">
        <v>12</v>
      </c>
    </row>
    <row r="49" spans="1:4" x14ac:dyDescent="0.25">
      <c r="A49" s="111"/>
      <c r="B49" s="112"/>
      <c r="C49" s="113" t="s">
        <v>52</v>
      </c>
      <c r="D49" s="114"/>
    </row>
    <row r="50" spans="1:4" ht="140.25" x14ac:dyDescent="0.25">
      <c r="A50" s="1" t="s">
        <v>33</v>
      </c>
      <c r="B50" s="2">
        <v>23</v>
      </c>
      <c r="C50" s="10" t="s">
        <v>82</v>
      </c>
      <c r="D50" s="90" t="s">
        <v>83</v>
      </c>
    </row>
    <row r="51" spans="1:4" x14ac:dyDescent="0.25">
      <c r="A51" s="1" t="s">
        <v>25</v>
      </c>
      <c r="B51" s="2">
        <v>1</v>
      </c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2"/>
      <c r="B58" s="2"/>
      <c r="C58" s="10"/>
      <c r="D58" s="10"/>
    </row>
    <row r="59" spans="1:4" x14ac:dyDescent="0.25">
      <c r="A59" s="2"/>
      <c r="B59" s="2"/>
      <c r="C59" s="10"/>
      <c r="D59" s="10"/>
    </row>
    <row r="60" spans="1:4" x14ac:dyDescent="0.25">
      <c r="A60" s="2"/>
      <c r="B60" s="2"/>
      <c r="C60" s="10"/>
      <c r="D60" s="10"/>
    </row>
    <row r="61" spans="1:4" x14ac:dyDescent="0.25">
      <c r="A61" s="51"/>
      <c r="B61" s="51"/>
      <c r="C61" s="52"/>
      <c r="D61" s="52"/>
    </row>
    <row r="62" spans="1:4" x14ac:dyDescent="0.25">
      <c r="A62" s="51"/>
      <c r="B62" s="51"/>
      <c r="C62" s="52"/>
      <c r="D62" s="52"/>
    </row>
    <row r="63" spans="1:4" ht="14.25" thickBot="1" x14ac:dyDescent="0.3">
      <c r="A63" s="3"/>
      <c r="B63" s="3"/>
      <c r="C63" s="11"/>
      <c r="D63" s="11"/>
    </row>
    <row r="64" spans="1:4" ht="14.25" thickBot="1" x14ac:dyDescent="0.3">
      <c r="A64" s="48" t="s">
        <v>21</v>
      </c>
      <c r="B64" s="48">
        <f>SUM(B49:B63)</f>
        <v>24</v>
      </c>
      <c r="C64" s="89" t="s">
        <v>51</v>
      </c>
      <c r="D64" s="49"/>
    </row>
    <row r="65" spans="1:4" ht="15" thickBot="1" x14ac:dyDescent="0.35">
      <c r="A65" s="50"/>
      <c r="B65" s="50"/>
      <c r="C65" s="50"/>
      <c r="D65" s="50"/>
    </row>
    <row r="66" spans="1:4" ht="18.75" thickBot="1" x14ac:dyDescent="0.3">
      <c r="A66" s="43" t="s">
        <v>13</v>
      </c>
      <c r="B66" s="44">
        <v>4</v>
      </c>
      <c r="C66" s="45" t="s">
        <v>22</v>
      </c>
      <c r="D66" s="54">
        <f>$D$47+7</f>
        <v>44970</v>
      </c>
    </row>
    <row r="67" spans="1:4" ht="27.75" thickBot="1" x14ac:dyDescent="0.3">
      <c r="A67" s="46" t="s">
        <v>2</v>
      </c>
      <c r="B67" s="47" t="s">
        <v>14</v>
      </c>
      <c r="C67" s="46" t="s">
        <v>6</v>
      </c>
      <c r="D67" s="46" t="s">
        <v>12</v>
      </c>
    </row>
    <row r="68" spans="1:4" x14ac:dyDescent="0.25">
      <c r="A68" s="5"/>
      <c r="B68" s="4"/>
      <c r="C68" s="9"/>
      <c r="D68" s="9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2"/>
      <c r="B77" s="2"/>
      <c r="C77" s="10"/>
      <c r="D77" s="10"/>
    </row>
    <row r="78" spans="1:4" x14ac:dyDescent="0.25">
      <c r="A78" s="2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51"/>
      <c r="B80" s="51"/>
      <c r="C80" s="52"/>
      <c r="D80" s="52"/>
    </row>
    <row r="81" spans="1:4" x14ac:dyDescent="0.25">
      <c r="A81" s="51"/>
      <c r="B81" s="51"/>
      <c r="C81" s="52"/>
      <c r="D81" s="52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48" t="s">
        <v>21</v>
      </c>
      <c r="B83" s="48">
        <f>SUM(B68:B82)</f>
        <v>0</v>
      </c>
      <c r="C83" s="89" t="s">
        <v>51</v>
      </c>
      <c r="D83" s="49"/>
    </row>
    <row r="84" spans="1:4" ht="15" thickBot="1" x14ac:dyDescent="0.35">
      <c r="A84" s="50"/>
      <c r="B84" s="50"/>
      <c r="C84" s="50"/>
      <c r="D84" s="50"/>
    </row>
    <row r="85" spans="1:4" ht="18.75" thickBot="1" x14ac:dyDescent="0.3">
      <c r="A85" s="43" t="s">
        <v>13</v>
      </c>
      <c r="B85" s="44">
        <v>5</v>
      </c>
      <c r="C85" s="45" t="s">
        <v>22</v>
      </c>
      <c r="D85" s="54">
        <f>$D$66+7</f>
        <v>44977</v>
      </c>
    </row>
    <row r="86" spans="1:4" ht="27.75" thickBot="1" x14ac:dyDescent="0.3">
      <c r="A86" s="46" t="s">
        <v>2</v>
      </c>
      <c r="B86" s="47" t="s">
        <v>14</v>
      </c>
      <c r="C86" s="46" t="s">
        <v>6</v>
      </c>
      <c r="D86" s="46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2"/>
      <c r="B96" s="2"/>
      <c r="C96" s="10"/>
      <c r="D96" s="10"/>
    </row>
    <row r="97" spans="1:4" x14ac:dyDescent="0.25">
      <c r="A97" s="2"/>
      <c r="B97" s="2"/>
      <c r="C97" s="10"/>
      <c r="D97" s="10"/>
    </row>
    <row r="98" spans="1:4" x14ac:dyDescent="0.25">
      <c r="A98" s="2"/>
      <c r="B98" s="2"/>
      <c r="C98" s="10"/>
      <c r="D98" s="10"/>
    </row>
    <row r="99" spans="1:4" x14ac:dyDescent="0.25">
      <c r="A99" s="51"/>
      <c r="B99" s="51"/>
      <c r="C99" s="52"/>
      <c r="D99" s="52"/>
    </row>
    <row r="100" spans="1:4" x14ac:dyDescent="0.25">
      <c r="A100" s="51"/>
      <c r="B100" s="51"/>
      <c r="C100" s="52"/>
      <c r="D100" s="52"/>
    </row>
    <row r="101" spans="1:4" ht="14.25" thickBot="1" x14ac:dyDescent="0.3">
      <c r="A101" s="3"/>
      <c r="B101" s="3"/>
      <c r="C101" s="11"/>
      <c r="D101" s="11"/>
    </row>
    <row r="102" spans="1:4" ht="14.25" thickBot="1" x14ac:dyDescent="0.3">
      <c r="A102" s="48" t="s">
        <v>21</v>
      </c>
      <c r="B102" s="48">
        <f>SUM(B87:B101)</f>
        <v>0</v>
      </c>
      <c r="C102" s="89" t="s">
        <v>51</v>
      </c>
      <c r="D102" s="49"/>
    </row>
    <row r="103" spans="1:4" ht="15" thickBot="1" x14ac:dyDescent="0.35">
      <c r="A103" s="50"/>
      <c r="B103" s="50"/>
      <c r="C103" s="50"/>
      <c r="D103" s="50"/>
    </row>
    <row r="104" spans="1:4" ht="18.75" thickBot="1" x14ac:dyDescent="0.3">
      <c r="A104" s="43" t="s">
        <v>13</v>
      </c>
      <c r="B104" s="44">
        <v>6</v>
      </c>
      <c r="C104" s="45" t="s">
        <v>22</v>
      </c>
      <c r="D104" s="54">
        <f>$D$85+7</f>
        <v>44984</v>
      </c>
    </row>
    <row r="105" spans="1:4" ht="27.75" thickBot="1" x14ac:dyDescent="0.3">
      <c r="A105" s="46" t="s">
        <v>2</v>
      </c>
      <c r="B105" s="47" t="s">
        <v>14</v>
      </c>
      <c r="C105" s="46" t="s">
        <v>6</v>
      </c>
      <c r="D105" s="46" t="s">
        <v>12</v>
      </c>
    </row>
    <row r="106" spans="1:4" x14ac:dyDescent="0.25">
      <c r="A106" s="5"/>
      <c r="B106" s="4"/>
      <c r="C106" s="9"/>
      <c r="D106" s="9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2"/>
      <c r="B115" s="2"/>
      <c r="C115" s="10"/>
      <c r="D115" s="10"/>
    </row>
    <row r="116" spans="1:4" x14ac:dyDescent="0.25">
      <c r="A116" s="2"/>
      <c r="B116" s="2"/>
      <c r="C116" s="10"/>
      <c r="D116" s="10"/>
    </row>
    <row r="117" spans="1:4" x14ac:dyDescent="0.25">
      <c r="A117" s="2"/>
      <c r="B117" s="2"/>
      <c r="C117" s="10"/>
      <c r="D117" s="10"/>
    </row>
    <row r="118" spans="1:4" x14ac:dyDescent="0.25">
      <c r="A118" s="51"/>
      <c r="B118" s="51"/>
      <c r="C118" s="52"/>
      <c r="D118" s="52"/>
    </row>
    <row r="119" spans="1:4" x14ac:dyDescent="0.25">
      <c r="A119" s="51"/>
      <c r="B119" s="51"/>
      <c r="C119" s="52"/>
      <c r="D119" s="52"/>
    </row>
    <row r="120" spans="1:4" ht="14.25" thickBot="1" x14ac:dyDescent="0.3">
      <c r="A120" s="3"/>
      <c r="B120" s="3"/>
      <c r="C120" s="11"/>
      <c r="D120" s="11"/>
    </row>
    <row r="121" spans="1:4" ht="14.25" thickBot="1" x14ac:dyDescent="0.3">
      <c r="A121" s="48" t="s">
        <v>21</v>
      </c>
      <c r="B121" s="48">
        <f>SUM(B106:B120)</f>
        <v>0</v>
      </c>
      <c r="C121" s="89" t="s">
        <v>51</v>
      </c>
      <c r="D121" s="49"/>
    </row>
    <row r="122" spans="1:4" ht="15" thickBot="1" x14ac:dyDescent="0.35">
      <c r="A122" s="50"/>
      <c r="B122" s="50"/>
      <c r="C122" s="50"/>
      <c r="D122" s="50"/>
    </row>
    <row r="123" spans="1:4" ht="18.75" thickBot="1" x14ac:dyDescent="0.3">
      <c r="A123" s="43" t="s">
        <v>13</v>
      </c>
      <c r="B123" s="44">
        <v>7</v>
      </c>
      <c r="C123" s="45" t="s">
        <v>22</v>
      </c>
      <c r="D123" s="54">
        <f>$D$104+7</f>
        <v>44991</v>
      </c>
    </row>
    <row r="124" spans="1:4" ht="27.75" thickBot="1" x14ac:dyDescent="0.3">
      <c r="A124" s="46" t="s">
        <v>2</v>
      </c>
      <c r="B124" s="47" t="s">
        <v>14</v>
      </c>
      <c r="C124" s="46" t="s">
        <v>6</v>
      </c>
      <c r="D124" s="46" t="s">
        <v>12</v>
      </c>
    </row>
    <row r="125" spans="1:4" x14ac:dyDescent="0.25">
      <c r="A125" s="5"/>
      <c r="B125" s="4"/>
      <c r="C125" s="9"/>
      <c r="D125" s="9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2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51"/>
      <c r="B137" s="51"/>
      <c r="C137" s="52"/>
      <c r="D137" s="52"/>
    </row>
    <row r="138" spans="1:4" x14ac:dyDescent="0.25">
      <c r="A138" s="51"/>
      <c r="B138" s="51"/>
      <c r="C138" s="52"/>
      <c r="D138" s="52"/>
    </row>
    <row r="139" spans="1:4" ht="14.25" thickBot="1" x14ac:dyDescent="0.3">
      <c r="A139" s="3"/>
      <c r="B139" s="3"/>
      <c r="C139" s="11"/>
      <c r="D139" s="11"/>
    </row>
    <row r="140" spans="1:4" ht="14.25" thickBot="1" x14ac:dyDescent="0.3">
      <c r="A140" s="48" t="s">
        <v>21</v>
      </c>
      <c r="B140" s="48">
        <f>SUM(B125:B139)</f>
        <v>0</v>
      </c>
      <c r="C140" s="89" t="s">
        <v>51</v>
      </c>
      <c r="D140" s="49"/>
    </row>
    <row r="141" spans="1:4" ht="15" thickBot="1" x14ac:dyDescent="0.35">
      <c r="A141" s="50"/>
      <c r="B141" s="50"/>
      <c r="C141" s="50"/>
      <c r="D141" s="50"/>
    </row>
    <row r="142" spans="1:4" ht="18.75" thickBot="1" x14ac:dyDescent="0.3">
      <c r="A142" s="43" t="s">
        <v>13</v>
      </c>
      <c r="B142" s="44">
        <v>8</v>
      </c>
      <c r="C142" s="45" t="s">
        <v>22</v>
      </c>
      <c r="D142" s="54">
        <f>$D$123+7</f>
        <v>44998</v>
      </c>
    </row>
    <row r="143" spans="1:4" ht="27.75" thickBot="1" x14ac:dyDescent="0.3">
      <c r="A143" s="46" t="s">
        <v>2</v>
      </c>
      <c r="B143" s="47" t="s">
        <v>14</v>
      </c>
      <c r="C143" s="46" t="s">
        <v>6</v>
      </c>
      <c r="D143" s="46" t="s">
        <v>12</v>
      </c>
    </row>
    <row r="144" spans="1:4" x14ac:dyDescent="0.25">
      <c r="A144" s="5"/>
      <c r="B144" s="4"/>
      <c r="C144" s="9"/>
      <c r="D144" s="9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2"/>
      <c r="B153" s="2"/>
      <c r="C153" s="10"/>
      <c r="D153" s="10"/>
    </row>
    <row r="154" spans="1:4" x14ac:dyDescent="0.25">
      <c r="A154" s="2"/>
      <c r="B154" s="2"/>
      <c r="C154" s="10"/>
      <c r="D154" s="10"/>
    </row>
    <row r="155" spans="1:4" x14ac:dyDescent="0.25">
      <c r="A155" s="2"/>
      <c r="B155" s="2"/>
      <c r="C155" s="10"/>
      <c r="D155" s="10"/>
    </row>
    <row r="156" spans="1:4" x14ac:dyDescent="0.25">
      <c r="A156" s="51"/>
      <c r="B156" s="51"/>
      <c r="C156" s="52"/>
      <c r="D156" s="52"/>
    </row>
    <row r="157" spans="1:4" x14ac:dyDescent="0.25">
      <c r="A157" s="51"/>
      <c r="B157" s="51"/>
      <c r="C157" s="52"/>
      <c r="D157" s="52"/>
    </row>
    <row r="158" spans="1:4" ht="14.25" thickBot="1" x14ac:dyDescent="0.3">
      <c r="A158" s="3"/>
      <c r="B158" s="3"/>
      <c r="C158" s="11"/>
      <c r="D158" s="11"/>
    </row>
    <row r="159" spans="1:4" ht="14.25" thickBot="1" x14ac:dyDescent="0.3">
      <c r="A159" s="48" t="s">
        <v>21</v>
      </c>
      <c r="B159" s="48">
        <f>SUM(B144:B158)</f>
        <v>0</v>
      </c>
      <c r="C159" s="89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13</v>
      </c>
      <c r="B161" s="44">
        <v>9</v>
      </c>
      <c r="C161" s="45" t="s">
        <v>22</v>
      </c>
      <c r="D161" s="54">
        <f>$D$142+7</f>
        <v>45005</v>
      </c>
    </row>
    <row r="162" spans="1:4" ht="27.75" thickBot="1" x14ac:dyDescent="0.3">
      <c r="A162" s="46" t="s">
        <v>2</v>
      </c>
      <c r="B162" s="47" t="s">
        <v>14</v>
      </c>
      <c r="C162" s="46" t="s">
        <v>6</v>
      </c>
      <c r="D162" s="46" t="s">
        <v>12</v>
      </c>
    </row>
    <row r="163" spans="1:4" x14ac:dyDescent="0.25">
      <c r="A163" s="5"/>
      <c r="B163" s="4"/>
      <c r="C163" s="9"/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2"/>
      <c r="B172" s="2"/>
      <c r="C172" s="10"/>
      <c r="D172" s="10"/>
    </row>
    <row r="173" spans="1:4" x14ac:dyDescent="0.25">
      <c r="A173" s="2"/>
      <c r="B173" s="2"/>
      <c r="C173" s="10"/>
      <c r="D173" s="10"/>
    </row>
    <row r="174" spans="1:4" x14ac:dyDescent="0.25">
      <c r="A174" s="2"/>
      <c r="B174" s="2"/>
      <c r="C174" s="10"/>
      <c r="D174" s="10"/>
    </row>
    <row r="175" spans="1:4" x14ac:dyDescent="0.25">
      <c r="A175" s="51"/>
      <c r="B175" s="51"/>
      <c r="C175" s="52"/>
      <c r="D175" s="52"/>
    </row>
    <row r="176" spans="1:4" x14ac:dyDescent="0.25">
      <c r="A176" s="51"/>
      <c r="B176" s="51"/>
      <c r="C176" s="52"/>
      <c r="D176" s="52"/>
    </row>
    <row r="177" spans="1:4" ht="14.25" thickBot="1" x14ac:dyDescent="0.3">
      <c r="A177" s="3"/>
      <c r="B177" s="3"/>
      <c r="C177" s="11"/>
      <c r="D177" s="11"/>
    </row>
    <row r="178" spans="1:4" ht="14.25" thickBot="1" x14ac:dyDescent="0.3">
      <c r="A178" s="48" t="s">
        <v>21</v>
      </c>
      <c r="B178" s="48">
        <f>SUM(B163:B177)</f>
        <v>0</v>
      </c>
      <c r="C178" s="89" t="s">
        <v>51</v>
      </c>
      <c r="D178" s="49"/>
    </row>
    <row r="179" spans="1:4" ht="15" thickBot="1" x14ac:dyDescent="0.35">
      <c r="A179" s="50"/>
      <c r="B179" s="50"/>
      <c r="C179" s="50"/>
      <c r="D179" s="50"/>
    </row>
    <row r="180" spans="1:4" ht="18.75" thickBot="1" x14ac:dyDescent="0.3">
      <c r="A180" s="43" t="s">
        <v>13</v>
      </c>
      <c r="B180" s="44">
        <v>10</v>
      </c>
      <c r="C180" s="45" t="s">
        <v>22</v>
      </c>
      <c r="D180" s="54">
        <f>$D$161+7</f>
        <v>45012</v>
      </c>
    </row>
    <row r="181" spans="1:4" ht="27.75" thickBot="1" x14ac:dyDescent="0.3">
      <c r="A181" s="46" t="s">
        <v>2</v>
      </c>
      <c r="B181" s="47" t="s">
        <v>14</v>
      </c>
      <c r="C181" s="46" t="s">
        <v>6</v>
      </c>
      <c r="D181" s="46" t="s">
        <v>12</v>
      </c>
    </row>
    <row r="182" spans="1:4" x14ac:dyDescent="0.25">
      <c r="A182" s="5"/>
      <c r="B182" s="4"/>
      <c r="C182" s="9"/>
      <c r="D182" s="9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x14ac:dyDescent="0.25">
      <c r="A194" s="51"/>
      <c r="B194" s="51"/>
      <c r="C194" s="52"/>
      <c r="D194" s="52"/>
    </row>
    <row r="195" spans="1:4" x14ac:dyDescent="0.25">
      <c r="A195" s="51"/>
      <c r="B195" s="51"/>
      <c r="C195" s="52"/>
      <c r="D195" s="52"/>
    </row>
    <row r="196" spans="1:4" ht="14.25" thickBot="1" x14ac:dyDescent="0.3">
      <c r="A196" s="3"/>
      <c r="B196" s="3"/>
      <c r="C196" s="11"/>
      <c r="D196" s="11"/>
    </row>
    <row r="197" spans="1:4" ht="14.25" thickBot="1" x14ac:dyDescent="0.3">
      <c r="A197" s="48" t="s">
        <v>21</v>
      </c>
      <c r="B197" s="48">
        <f>SUM(B182:B196)</f>
        <v>0</v>
      </c>
      <c r="C197" s="89" t="s">
        <v>51</v>
      </c>
      <c r="D197" s="49"/>
    </row>
    <row r="198" spans="1:4" ht="14.25" x14ac:dyDescent="0.3">
      <c r="A198" s="50"/>
      <c r="B198" s="50"/>
      <c r="C198" s="50"/>
      <c r="D198" s="50"/>
    </row>
    <row r="199" spans="1:4" x14ac:dyDescent="0.25">
      <c r="A199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:F43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3:B44 B68:B82 B87:B101 B106:B120 B125:B139 B144:B158 B163:B177 B182:B196 B3:B22 B27:B41 B49:B63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5 B64 B83 B102 B121 B140 B159 B178 B197" xr:uid="{AC09EF01-5E22-4EA1-BB83-D8349F85B499}">
      <formula1>0</formula1>
      <formula2>NbPerWeek * NbQuartPer</formula2>
    </dataValidation>
    <dataValidation type="list" allowBlank="1" showInputMessage="1" showErrorMessage="1" sqref="A27:A44 A68:A82 A87:A101 A106:A120 A125:A139 A144:A158 A163:A177 A182:A196 A3:A22 B42 A49:A63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  <hyperlink ref="D32" r:id="rId5" xr:uid="{E4D439B0-C8C6-4908-8ADB-BEE5105C5996}"/>
    <hyperlink ref="D41" r:id="rId6" display="https://stackoverflow.com/questions/3226096/copy-excel-worksheet-from-one-workbook-to-another-with-powershell" xr:uid="{D4001275-D009-4F9F-8FE5-76C35D2A26C0}"/>
    <hyperlink ref="D50" r:id="rId7" display="https://support.microsoft.com/en-us/topic/macro-to-loop-through-all-worksheets-in-a-workbook-feef14e3-97cf-00e2-538b-5da40186e2b0" xr:uid="{7FB4CE0B-486F-4F76-BEB4-656E6C527B2B}"/>
  </hyperlinks>
  <pageMargins left="0.7" right="0.7" top="0.75" bottom="0.75" header="0.3" footer="0.3"/>
  <pageSetup paperSize="9" orientation="portrait" r:id="rId8"/>
  <drawing r:id="rId9"/>
  <legacyDrawing r:id="rId10"/>
  <controls>
    <mc:AlternateContent xmlns:mc="http://schemas.openxmlformats.org/markup-compatibility/2006">
      <mc:Choice Requires="x14">
        <control shapeId="64513" r:id="rId11" name="btnImportRealisation">
          <controlPr defaultSize="0" autoLine="0" r:id="rId1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11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sheetPr codeName="Feuil3"/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5">
        <v>44949</v>
      </c>
      <c r="D2" s="125"/>
      <c r="E2" s="125"/>
      <c r="F2" s="125"/>
      <c r="G2" s="125">
        <v>44956</v>
      </c>
      <c r="H2" s="125"/>
      <c r="I2" s="125"/>
      <c r="J2" s="125"/>
      <c r="K2" s="125">
        <v>44963</v>
      </c>
      <c r="L2" s="125"/>
      <c r="M2" s="125"/>
      <c r="N2" s="125"/>
      <c r="O2" s="125">
        <v>44970</v>
      </c>
      <c r="P2" s="125"/>
      <c r="Q2" s="125"/>
      <c r="R2" s="125"/>
      <c r="S2" s="125">
        <v>44977</v>
      </c>
      <c r="T2" s="125"/>
      <c r="U2" s="125"/>
      <c r="V2" s="125"/>
      <c r="W2" s="125">
        <v>44984</v>
      </c>
      <c r="X2" s="125"/>
      <c r="Y2" s="125"/>
      <c r="Z2" s="125"/>
      <c r="AA2" s="125">
        <v>44991</v>
      </c>
      <c r="AB2" s="125"/>
      <c r="AC2" s="125"/>
      <c r="AD2" s="125"/>
      <c r="AE2" s="125">
        <v>44998</v>
      </c>
      <c r="AF2" s="125"/>
      <c r="AG2" s="125"/>
      <c r="AH2" s="125"/>
      <c r="AI2" s="125">
        <v>45005</v>
      </c>
      <c r="AJ2" s="125"/>
      <c r="AK2" s="125"/>
      <c r="AL2" s="125"/>
    </row>
    <row r="3" spans="2:38" ht="14.25" thickBot="1" x14ac:dyDescent="0.3">
      <c r="C3" s="124" t="s">
        <v>41</v>
      </c>
      <c r="D3" s="124"/>
      <c r="E3" s="124"/>
      <c r="F3" s="124"/>
      <c r="G3" s="124" t="s">
        <v>42</v>
      </c>
      <c r="H3" s="124"/>
      <c r="I3" s="124"/>
      <c r="J3" s="124"/>
      <c r="K3" s="124" t="s">
        <v>43</v>
      </c>
      <c r="L3" s="124"/>
      <c r="M3" s="124"/>
      <c r="N3" s="124"/>
      <c r="O3" s="124" t="s">
        <v>44</v>
      </c>
      <c r="P3" s="124"/>
      <c r="Q3" s="124"/>
      <c r="R3" s="124"/>
      <c r="S3" s="124" t="s">
        <v>45</v>
      </c>
      <c r="T3" s="124"/>
      <c r="U3" s="124"/>
      <c r="V3" s="124"/>
      <c r="W3" s="124" t="s">
        <v>46</v>
      </c>
      <c r="X3" s="124"/>
      <c r="Y3" s="124"/>
      <c r="Z3" s="124"/>
      <c r="AA3" s="124" t="s">
        <v>47</v>
      </c>
      <c r="AB3" s="124"/>
      <c r="AC3" s="124"/>
      <c r="AD3" s="124"/>
      <c r="AE3" s="124" t="s">
        <v>48</v>
      </c>
      <c r="AF3" s="124"/>
      <c r="AG3" s="124"/>
      <c r="AH3" s="124"/>
      <c r="AI3" s="124" t="s">
        <v>49</v>
      </c>
      <c r="AJ3" s="124"/>
      <c r="AK3" s="124"/>
      <c r="AL3" s="124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3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2023-02-06T15:10:17Z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