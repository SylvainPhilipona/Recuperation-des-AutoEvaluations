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D2149A40-BDB6-479F-AD05-20FCC8CFE734}" xr6:coauthVersionLast="45" xr6:coauthVersionMax="47" xr10:uidLastSave="{00000000-0000-0000-0000-000000000000}"/>
  <bookViews>
    <workbookView xWindow="-289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2" i="171" s="1"/>
  <c r="D141" i="171" s="1"/>
  <c r="D160" i="171" s="1"/>
  <c r="D179" i="171" s="1"/>
  <c r="B196" i="171"/>
  <c r="B177" i="171"/>
  <c r="B158" i="171"/>
  <c r="B139" i="171"/>
  <c r="B120" i="171"/>
  <c r="B80" i="171"/>
  <c r="B68" i="171"/>
  <c r="B45" i="171"/>
  <c r="B23" i="171"/>
  <c r="B18" i="154" l="1"/>
  <c r="B13" i="11" l="1"/>
</calcChain>
</file>

<file path=xl/sharedStrings.xml><?xml version="1.0" encoding="utf-8"?>
<sst xmlns="http://schemas.openxmlformats.org/spreadsheetml/2006/main" count="283" uniqueCount="102">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</sst>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8"/>
  <sheetViews>
    <sheetView tabSelected="1" topLeftCell="A100" workbookViewId="0">
      <selection activeCell="D105" sqref="D10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2"/>
      <c r="B115" s="2"/>
      <c r="C115" s="10"/>
      <c r="D115" s="10"/>
    </row>
    <row r="116" spans="1:4" x14ac:dyDescent="0.25">
      <c r="A116" s="2"/>
      <c r="B116" s="2"/>
      <c r="C116" s="10"/>
      <c r="D116" s="10"/>
    </row>
    <row r="117" spans="1:4" x14ac:dyDescent="0.25">
      <c r="A117" s="51"/>
      <c r="B117" s="51"/>
      <c r="C117" s="52"/>
      <c r="D117" s="52"/>
    </row>
    <row r="118" spans="1:4" x14ac:dyDescent="0.25">
      <c r="A118" s="51"/>
      <c r="B118" s="51"/>
      <c r="C118" s="52"/>
      <c r="D118" s="52"/>
    </row>
    <row r="119" spans="1:4" ht="14.25" thickBot="1" x14ac:dyDescent="0.3">
      <c r="A119" s="3"/>
      <c r="B119" s="3"/>
      <c r="C119" s="11"/>
      <c r="D119" s="11"/>
    </row>
    <row r="120" spans="1:4" ht="14.25" thickBot="1" x14ac:dyDescent="0.3">
      <c r="A120" s="48" t="s">
        <v>21</v>
      </c>
      <c r="B120" s="48">
        <f>SUM(B103:B119)</f>
        <v>63</v>
      </c>
      <c r="C120" s="89" t="s">
        <v>51</v>
      </c>
      <c r="D120" s="49"/>
    </row>
    <row r="121" spans="1:4" ht="15" thickBot="1" x14ac:dyDescent="0.35">
      <c r="A121" s="50"/>
      <c r="B121" s="50"/>
      <c r="C121" s="50"/>
      <c r="D121" s="50"/>
    </row>
    <row r="122" spans="1:4" ht="18.75" thickBot="1" x14ac:dyDescent="0.3">
      <c r="A122" s="43" t="s">
        <v>13</v>
      </c>
      <c r="B122" s="44">
        <v>7</v>
      </c>
      <c r="C122" s="45" t="s">
        <v>22</v>
      </c>
      <c r="D122" s="54">
        <f>$D$101+7</f>
        <v>44991</v>
      </c>
    </row>
    <row r="123" spans="1:4" ht="27.75" thickBot="1" x14ac:dyDescent="0.3">
      <c r="A123" s="46" t="s">
        <v>2</v>
      </c>
      <c r="B123" s="47" t="s">
        <v>14</v>
      </c>
      <c r="C123" s="46" t="s">
        <v>6</v>
      </c>
      <c r="D123" s="46" t="s">
        <v>12</v>
      </c>
    </row>
    <row r="124" spans="1:4" x14ac:dyDescent="0.25">
      <c r="A124" s="5"/>
      <c r="B124" s="4"/>
      <c r="C124" s="9"/>
      <c r="D124" s="9"/>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2"/>
      <c r="B133" s="2"/>
      <c r="C133" s="10"/>
      <c r="D133" s="10"/>
    </row>
    <row r="134" spans="1:4" x14ac:dyDescent="0.25">
      <c r="A134" s="2"/>
      <c r="B134" s="2"/>
      <c r="C134" s="10"/>
      <c r="D134" s="10"/>
    </row>
    <row r="135" spans="1:4" x14ac:dyDescent="0.25">
      <c r="A135" s="2"/>
      <c r="B135" s="2"/>
      <c r="C135" s="10"/>
      <c r="D135" s="10"/>
    </row>
    <row r="136" spans="1:4" x14ac:dyDescent="0.25">
      <c r="A136" s="51"/>
      <c r="B136" s="51"/>
      <c r="C136" s="52"/>
      <c r="D136" s="52"/>
    </row>
    <row r="137" spans="1:4" x14ac:dyDescent="0.25">
      <c r="A137" s="51"/>
      <c r="B137" s="51"/>
      <c r="C137" s="52"/>
      <c r="D137" s="52"/>
    </row>
    <row r="138" spans="1:4" ht="14.25" thickBot="1" x14ac:dyDescent="0.3">
      <c r="A138" s="3"/>
      <c r="B138" s="3"/>
      <c r="C138" s="11"/>
      <c r="D138" s="11"/>
    </row>
    <row r="139" spans="1:4" ht="14.25" thickBot="1" x14ac:dyDescent="0.3">
      <c r="A139" s="48" t="s">
        <v>21</v>
      </c>
      <c r="B139" s="48">
        <f>SUM(B124:B138)</f>
        <v>0</v>
      </c>
      <c r="C139" s="89" t="s">
        <v>51</v>
      </c>
      <c r="D139" s="49"/>
    </row>
    <row r="140" spans="1:4" ht="15" thickBot="1" x14ac:dyDescent="0.35">
      <c r="A140" s="50"/>
      <c r="B140" s="50"/>
      <c r="C140" s="50"/>
      <c r="D140" s="50"/>
    </row>
    <row r="141" spans="1:4" ht="18.75" thickBot="1" x14ac:dyDescent="0.3">
      <c r="A141" s="43" t="s">
        <v>13</v>
      </c>
      <c r="B141" s="44">
        <v>8</v>
      </c>
      <c r="C141" s="45" t="s">
        <v>22</v>
      </c>
      <c r="D141" s="54">
        <f>$D$122+7</f>
        <v>44998</v>
      </c>
    </row>
    <row r="142" spans="1:4" ht="27.75" thickBot="1" x14ac:dyDescent="0.3">
      <c r="A142" s="46" t="s">
        <v>2</v>
      </c>
      <c r="B142" s="47" t="s">
        <v>14</v>
      </c>
      <c r="C142" s="46" t="s">
        <v>6</v>
      </c>
      <c r="D142" s="46" t="s">
        <v>12</v>
      </c>
    </row>
    <row r="143" spans="1:4" x14ac:dyDescent="0.25">
      <c r="A143" s="5"/>
      <c r="B143" s="4"/>
      <c r="C143" s="9"/>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2"/>
      <c r="B152" s="2"/>
      <c r="C152" s="10"/>
      <c r="D152" s="10"/>
    </row>
    <row r="153" spans="1:4" x14ac:dyDescent="0.25">
      <c r="A153" s="2"/>
      <c r="B153" s="2"/>
      <c r="C153" s="10"/>
      <c r="D153" s="10"/>
    </row>
    <row r="154" spans="1:4" x14ac:dyDescent="0.25">
      <c r="A154" s="2"/>
      <c r="B154" s="2"/>
      <c r="C154" s="10"/>
      <c r="D154" s="10"/>
    </row>
    <row r="155" spans="1:4" x14ac:dyDescent="0.25">
      <c r="A155" s="51"/>
      <c r="B155" s="51"/>
      <c r="C155" s="52"/>
      <c r="D155" s="52"/>
    </row>
    <row r="156" spans="1:4" x14ac:dyDescent="0.25">
      <c r="A156" s="51"/>
      <c r="B156" s="51"/>
      <c r="C156" s="52"/>
      <c r="D156" s="52"/>
    </row>
    <row r="157" spans="1:4" ht="14.25" thickBot="1" x14ac:dyDescent="0.3">
      <c r="A157" s="3"/>
      <c r="B157" s="3"/>
      <c r="C157" s="11"/>
      <c r="D157" s="11"/>
    </row>
    <row r="158" spans="1:4" ht="14.25" thickBot="1" x14ac:dyDescent="0.3">
      <c r="A158" s="48" t="s">
        <v>21</v>
      </c>
      <c r="B158" s="48">
        <f>SUM(B143:B157)</f>
        <v>0</v>
      </c>
      <c r="C158" s="89" t="s">
        <v>51</v>
      </c>
      <c r="D158" s="49"/>
    </row>
    <row r="159" spans="1:4" ht="15" thickBot="1" x14ac:dyDescent="0.35">
      <c r="A159" s="50"/>
      <c r="B159" s="50"/>
      <c r="C159" s="50"/>
      <c r="D159" s="50"/>
    </row>
    <row r="160" spans="1:4" ht="18.75" thickBot="1" x14ac:dyDescent="0.3">
      <c r="A160" s="43" t="s">
        <v>13</v>
      </c>
      <c r="B160" s="44">
        <v>9</v>
      </c>
      <c r="C160" s="45" t="s">
        <v>22</v>
      </c>
      <c r="D160" s="54">
        <f>$D$141+7</f>
        <v>45005</v>
      </c>
    </row>
    <row r="161" spans="1:4" ht="27.75" thickBot="1" x14ac:dyDescent="0.3">
      <c r="A161" s="46" t="s">
        <v>2</v>
      </c>
      <c r="B161" s="47" t="s">
        <v>14</v>
      </c>
      <c r="C161" s="46" t="s">
        <v>6</v>
      </c>
      <c r="D161" s="46" t="s">
        <v>12</v>
      </c>
    </row>
    <row r="162" spans="1:4" x14ac:dyDescent="0.25">
      <c r="A162" s="5"/>
      <c r="B162" s="4"/>
      <c r="C162" s="9"/>
      <c r="D162" s="9"/>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2"/>
      <c r="B171" s="2"/>
      <c r="C171" s="10"/>
      <c r="D171" s="10"/>
    </row>
    <row r="172" spans="1:4" x14ac:dyDescent="0.25">
      <c r="A172" s="2"/>
      <c r="B172" s="2"/>
      <c r="C172" s="10"/>
      <c r="D172" s="10"/>
    </row>
    <row r="173" spans="1:4" x14ac:dyDescent="0.25">
      <c r="A173" s="2"/>
      <c r="B173" s="2"/>
      <c r="C173" s="10"/>
      <c r="D173" s="10"/>
    </row>
    <row r="174" spans="1:4" x14ac:dyDescent="0.25">
      <c r="A174" s="51"/>
      <c r="B174" s="51"/>
      <c r="C174" s="52"/>
      <c r="D174" s="52"/>
    </row>
    <row r="175" spans="1:4" x14ac:dyDescent="0.25">
      <c r="A175" s="51"/>
      <c r="B175" s="51"/>
      <c r="C175" s="52"/>
      <c r="D175" s="52"/>
    </row>
    <row r="176" spans="1:4" ht="14.25" thickBot="1" x14ac:dyDescent="0.3">
      <c r="A176" s="3"/>
      <c r="B176" s="3"/>
      <c r="C176" s="11"/>
      <c r="D176" s="11"/>
    </row>
    <row r="177" spans="1:4" ht="14.25" thickBot="1" x14ac:dyDescent="0.3">
      <c r="A177" s="48" t="s">
        <v>21</v>
      </c>
      <c r="B177" s="48">
        <f>SUM(B162:B176)</f>
        <v>0</v>
      </c>
      <c r="C177" s="89" t="s">
        <v>51</v>
      </c>
      <c r="D177" s="49"/>
    </row>
    <row r="178" spans="1:4" ht="15" thickBot="1" x14ac:dyDescent="0.35">
      <c r="A178" s="50"/>
      <c r="B178" s="50"/>
      <c r="C178" s="50"/>
      <c r="D178" s="50"/>
    </row>
    <row r="179" spans="1:4" ht="18.75" thickBot="1" x14ac:dyDescent="0.3">
      <c r="A179" s="43" t="s">
        <v>13</v>
      </c>
      <c r="B179" s="44">
        <v>10</v>
      </c>
      <c r="C179" s="45" t="s">
        <v>22</v>
      </c>
      <c r="D179" s="54">
        <f>$D$160+7</f>
        <v>45012</v>
      </c>
    </row>
    <row r="180" spans="1:4" ht="27.75" thickBot="1" x14ac:dyDescent="0.3">
      <c r="A180" s="46" t="s">
        <v>2</v>
      </c>
      <c r="B180" s="47" t="s">
        <v>14</v>
      </c>
      <c r="C180" s="46" t="s">
        <v>6</v>
      </c>
      <c r="D180" s="46" t="s">
        <v>12</v>
      </c>
    </row>
    <row r="181" spans="1:4" x14ac:dyDescent="0.25">
      <c r="A181" s="5"/>
      <c r="B181" s="4"/>
      <c r="C181" s="9"/>
      <c r="D181" s="9"/>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2"/>
      <c r="B190" s="2"/>
      <c r="C190" s="10"/>
      <c r="D190" s="10"/>
    </row>
    <row r="191" spans="1:4" x14ac:dyDescent="0.25">
      <c r="A191" s="2"/>
      <c r="B191" s="2"/>
      <c r="C191" s="10"/>
      <c r="D191" s="10"/>
    </row>
    <row r="192" spans="1:4" x14ac:dyDescent="0.25">
      <c r="A192" s="2"/>
      <c r="B192" s="2"/>
      <c r="C192" s="10"/>
      <c r="D192" s="10"/>
    </row>
    <row r="193" spans="1:4" x14ac:dyDescent="0.25">
      <c r="A193" s="51"/>
      <c r="B193" s="51"/>
      <c r="C193" s="52"/>
      <c r="D193" s="52"/>
    </row>
    <row r="194" spans="1:4" x14ac:dyDescent="0.25">
      <c r="A194" s="51"/>
      <c r="B194" s="51"/>
      <c r="C194" s="52"/>
      <c r="D194" s="52"/>
    </row>
    <row r="195" spans="1:4" ht="14.25" thickBot="1" x14ac:dyDescent="0.3">
      <c r="A195" s="3"/>
      <c r="B195" s="3"/>
      <c r="C195" s="11"/>
      <c r="D195" s="11"/>
    </row>
    <row r="196" spans="1:4" ht="14.25" thickBot="1" x14ac:dyDescent="0.3">
      <c r="A196" s="48" t="s">
        <v>21</v>
      </c>
      <c r="B196" s="48">
        <f>SUM(B181:B195)</f>
        <v>0</v>
      </c>
      <c r="C196" s="89" t="s">
        <v>51</v>
      </c>
      <c r="D196" s="49"/>
    </row>
    <row r="197" spans="1:4" ht="14.25" x14ac:dyDescent="0.3">
      <c r="A197" s="50"/>
      <c r="B197" s="50"/>
      <c r="C197" s="50"/>
      <c r="D197" s="50"/>
    </row>
    <row r="198" spans="1:4" x14ac:dyDescent="0.25">
      <c r="A198"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4:B138 B143:B157 B162:B176 B181:B195 B3:B22 B27:B41 B72:B79 B103:B11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0 B139 B158 B177 B196" xr:uid="{AC09EF01-5E22-4EA1-BB83-D8349F85B499}">
      <formula1>0</formula1>
      <formula2>NbPerWeek * NbQuartPer</formula2>
    </dataValidation>
    <dataValidation type="list" allowBlank="1" showInputMessage="1" showErrorMessage="1" sqref="A27:A44 A49:A67 A84:A98 A124:A138 A143:A157 A162:A176 A181:A195 A3:A22 B42 A72:A79 A103:A11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F4" sqref="F4"/>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2023-03-02T14:42:30Z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