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D1FCF4F3-7B81-4380-9DC5-362023547D71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4" i="171" s="1"/>
  <c r="D63" i="171" s="1"/>
  <c r="D82" i="171" s="1"/>
  <c r="D101" i="171" s="1"/>
  <c r="D120" i="171" s="1"/>
  <c r="D139" i="171" s="1"/>
  <c r="D158" i="171" s="1"/>
  <c r="D177" i="171" s="1"/>
  <c r="B194" i="171"/>
  <c r="B175" i="171"/>
  <c r="B156" i="171"/>
  <c r="B137" i="171"/>
  <c r="B118" i="171"/>
  <c r="B99" i="171"/>
  <c r="B80" i="171"/>
  <c r="B61" i="171"/>
  <c r="B42" i="171"/>
  <c r="B23" i="171"/>
  <c r="B18" i="154" l="1"/>
  <c r="B13" i="11" l="1"/>
</calcChain>
</file>

<file path=xl/sharedStrings.xml><?xml version="1.0" encoding="utf-8"?>
<sst xmlns="http://schemas.openxmlformats.org/spreadsheetml/2006/main" count="193" uniqueCount="75">
  <si>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</si>
  <si>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</si>
  <si>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</si>
  <si>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</si>
  <si>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</si>
  <si>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</si>
  <si>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</si>
  <si>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</si>
  <si>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</si>
  <si>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</si>
  <si>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</si>
  <si>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</si>
  <si>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</si>
  <si>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</si>
  <si>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</si>
  <si>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</si>
  <si>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</si>
  <si>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</si>
  <si>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</si>
  <si>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</si>
  <si>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</si>
  <si>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</si>
  <si>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</si>
  <si>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</si>
  <si>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</si>
  <si>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</si>
  <si>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</si>
  <si>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</si>
  <si>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</si>
  <si>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</si>
  <si>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</si>
  <si>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</si>
  <si>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</si>
  <si>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</si>
  <si>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</si>
  <si>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</si>
  <si>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</si>
  <si>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</si>
  <si>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</si>
  <si>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</si>
  <si>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</si>
  <si>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</si>
  <si>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</si>
  <si>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</si>
  <si>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</si>
  <si>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</si>
  <si>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</si>
  <si>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</si>
  <si>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</si>
  <si>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</si>
  <si>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</si>
  <si>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</si>
  <si>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</si>
  <si>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</si>
  <si>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</si>
  <si>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</si>
  <si>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</si>
  <si>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</si>
  <si>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</si>
  <si>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</si>
  <si>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</si>
  <si>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</si>
  <si>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</si>
  <si>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</si>
  <si>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</si>
  <si>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</si>
  <si>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</si>
  <si>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</si>
  <si>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</si>
  <si>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</si>
  <si>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</si>
  <si>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</si>
  <si>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</si>
  <si>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Cours se finissant plus tôt</t>
  </si>
  <si>
    <t>• Optimisation de la gestions d'erreurs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</si>
</sst>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8" fillId="0" borderId="2" xfId="1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18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1" t="s">
        <v>20</v>
      </c>
      <c r="C3" s="16">
        <v>0</v>
      </c>
    </row>
    <row r="4" spans="1:4" ht="19.5" customHeight="1" x14ac:dyDescent="0.25">
      <c r="A4" s="19"/>
      <c r="B4" s="12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6"/>
  <sheetViews>
    <sheetView tabSelected="1" topLeftCell="A26" workbookViewId="0">
      <selection activeCell="C32" sqref="C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3</v>
      </c>
      <c r="C32" s="125" t="s">
        <v>74</v>
      </c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 t="s">
        <v>28</v>
      </c>
      <c r="B34" s="2">
        <v>2</v>
      </c>
      <c r="C34" s="10" t="s">
        <v>73</v>
      </c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21</v>
      </c>
      <c r="B42" s="48">
        <f>SUM(B27:B41)</f>
        <v>29</v>
      </c>
      <c r="C42" s="89" t="s">
        <v>51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13</v>
      </c>
      <c r="B44" s="44">
        <v>3</v>
      </c>
      <c r="C44" s="45" t="s">
        <v>22</v>
      </c>
      <c r="D44" s="54">
        <f>$D$25+7</f>
        <v>44963</v>
      </c>
      <c r="E44" s="20"/>
      <c r="F44" s="20"/>
      <c r="G44" s="20"/>
      <c r="H44" s="20"/>
      <c r="I44" s="20"/>
    </row>
    <row r="45" spans="1:9" ht="27.75" thickBot="1" x14ac:dyDescent="0.3">
      <c r="A45" s="46" t="s">
        <v>2</v>
      </c>
      <c r="B45" s="47" t="s">
        <v>14</v>
      </c>
      <c r="C45" s="46" t="s">
        <v>6</v>
      </c>
      <c r="D45" s="46" t="s">
        <v>12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21</v>
      </c>
      <c r="B61" s="48">
        <f>SUM(B46:B60)</f>
        <v>0</v>
      </c>
      <c r="C61" s="89" t="s">
        <v>51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13</v>
      </c>
      <c r="B63" s="44">
        <v>4</v>
      </c>
      <c r="C63" s="45" t="s">
        <v>22</v>
      </c>
      <c r="D63" s="54">
        <f>$D$44+7</f>
        <v>44970</v>
      </c>
    </row>
    <row r="64" spans="1:4" ht="27.75" thickBot="1" x14ac:dyDescent="0.3">
      <c r="A64" s="46" t="s">
        <v>2</v>
      </c>
      <c r="B64" s="47" t="s">
        <v>14</v>
      </c>
      <c r="C64" s="46" t="s">
        <v>6</v>
      </c>
      <c r="D64" s="46" t="s">
        <v>12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21</v>
      </c>
      <c r="B80" s="48">
        <f>SUM(B65:B79)</f>
        <v>0</v>
      </c>
      <c r="C80" s="89" t="s">
        <v>51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13</v>
      </c>
      <c r="B82" s="44">
        <v>5</v>
      </c>
      <c r="C82" s="45" t="s">
        <v>22</v>
      </c>
      <c r="D82" s="54">
        <f>$D$63+7</f>
        <v>44977</v>
      </c>
    </row>
    <row r="83" spans="1:4" ht="27.75" thickBot="1" x14ac:dyDescent="0.3">
      <c r="A83" s="46" t="s">
        <v>2</v>
      </c>
      <c r="B83" s="47" t="s">
        <v>14</v>
      </c>
      <c r="C83" s="46" t="s">
        <v>6</v>
      </c>
      <c r="D83" s="46" t="s">
        <v>12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21</v>
      </c>
      <c r="B99" s="48">
        <f>SUM(B84:B98)</f>
        <v>0</v>
      </c>
      <c r="C99" s="89" t="s">
        <v>51</v>
      </c>
      <c r="D99" s="49"/>
    </row>
    <row r="100" spans="1:4" ht="15" thickBot="1" x14ac:dyDescent="0.35">
      <c r="A100" s="50"/>
      <c r="B100" s="50"/>
      <c r="C100" s="50"/>
      <c r="D100" s="50"/>
    </row>
    <row r="101" spans="1:4" ht="18.75" thickBot="1" x14ac:dyDescent="0.3">
      <c r="A101" s="43" t="s">
        <v>13</v>
      </c>
      <c r="B101" s="44">
        <v>6</v>
      </c>
      <c r="C101" s="45" t="s">
        <v>22</v>
      </c>
      <c r="D101" s="54">
        <f>$D$82+7</f>
        <v>44984</v>
      </c>
    </row>
    <row r="102" spans="1:4" ht="27.75" thickBot="1" x14ac:dyDescent="0.3">
      <c r="A102" s="46" t="s">
        <v>2</v>
      </c>
      <c r="B102" s="47" t="s">
        <v>14</v>
      </c>
      <c r="C102" s="46" t="s">
        <v>6</v>
      </c>
      <c r="D102" s="46" t="s">
        <v>12</v>
      </c>
    </row>
    <row r="103" spans="1:4" x14ac:dyDescent="0.25">
      <c r="A103" s="5"/>
      <c r="B103" s="4"/>
      <c r="C103" s="9"/>
      <c r="D103" s="9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51"/>
      <c r="B115" s="51"/>
      <c r="C115" s="52"/>
      <c r="D115" s="52"/>
    </row>
    <row r="116" spans="1:4" x14ac:dyDescent="0.25">
      <c r="A116" s="51"/>
      <c r="B116" s="51"/>
      <c r="C116" s="52"/>
      <c r="D116" s="52"/>
    </row>
    <row r="117" spans="1:4" ht="14.25" thickBot="1" x14ac:dyDescent="0.3">
      <c r="A117" s="3"/>
      <c r="B117" s="3"/>
      <c r="C117" s="11"/>
      <c r="D117" s="11"/>
    </row>
    <row r="118" spans="1:4" ht="14.25" thickBot="1" x14ac:dyDescent="0.3">
      <c r="A118" s="48" t="s">
        <v>21</v>
      </c>
      <c r="B118" s="48">
        <f>SUM(B103:B117)</f>
        <v>0</v>
      </c>
      <c r="C118" s="89" t="s">
        <v>51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13</v>
      </c>
      <c r="B120" s="44">
        <v>7</v>
      </c>
      <c r="C120" s="45" t="s">
        <v>22</v>
      </c>
      <c r="D120" s="54">
        <f>$D$101+7</f>
        <v>44991</v>
      </c>
    </row>
    <row r="121" spans="1:4" ht="27.75" thickBot="1" x14ac:dyDescent="0.3">
      <c r="A121" s="46" t="s">
        <v>2</v>
      </c>
      <c r="B121" s="47" t="s">
        <v>14</v>
      </c>
      <c r="C121" s="46" t="s">
        <v>6</v>
      </c>
      <c r="D121" s="46" t="s">
        <v>12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21</v>
      </c>
      <c r="B137" s="48">
        <f>SUM(B122:B136)</f>
        <v>0</v>
      </c>
      <c r="C137" s="89" t="s">
        <v>51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13</v>
      </c>
      <c r="B139" s="44">
        <v>8</v>
      </c>
      <c r="C139" s="45" t="s">
        <v>22</v>
      </c>
      <c r="D139" s="54">
        <f>$D$120+7</f>
        <v>44998</v>
      </c>
    </row>
    <row r="140" spans="1:4" ht="27.75" thickBot="1" x14ac:dyDescent="0.3">
      <c r="A140" s="46" t="s">
        <v>2</v>
      </c>
      <c r="B140" s="47" t="s">
        <v>14</v>
      </c>
      <c r="C140" s="46" t="s">
        <v>6</v>
      </c>
      <c r="D140" s="46" t="s">
        <v>12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21</v>
      </c>
      <c r="B156" s="48">
        <f>SUM(B141:B155)</f>
        <v>0</v>
      </c>
      <c r="C156" s="89" t="s">
        <v>51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13</v>
      </c>
      <c r="B158" s="44">
        <v>9</v>
      </c>
      <c r="C158" s="45" t="s">
        <v>22</v>
      </c>
      <c r="D158" s="54">
        <f>$D$139+7</f>
        <v>45005</v>
      </c>
    </row>
    <row r="159" spans="1:4" ht="27.75" thickBot="1" x14ac:dyDescent="0.3">
      <c r="A159" s="46" t="s">
        <v>2</v>
      </c>
      <c r="B159" s="47" t="s">
        <v>14</v>
      </c>
      <c r="C159" s="46" t="s">
        <v>6</v>
      </c>
      <c r="D159" s="46" t="s">
        <v>12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21</v>
      </c>
      <c r="B175" s="48">
        <f>SUM(B160:B174)</f>
        <v>0</v>
      </c>
      <c r="C175" s="89" t="s">
        <v>51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13</v>
      </c>
      <c r="B177" s="44">
        <v>10</v>
      </c>
      <c r="C177" s="45" t="s">
        <v>22</v>
      </c>
      <c r="D177" s="54">
        <f>$D$158+7</f>
        <v>45012</v>
      </c>
    </row>
    <row r="178" spans="1:4" ht="27.75" thickBot="1" x14ac:dyDescent="0.3">
      <c r="A178" s="46" t="s">
        <v>2</v>
      </c>
      <c r="B178" s="47" t="s">
        <v>14</v>
      </c>
      <c r="C178" s="46" t="s">
        <v>6</v>
      </c>
      <c r="D178" s="46" t="s">
        <v>12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21</v>
      </c>
      <c r="B194" s="48">
        <f>SUM(B179:B193)</f>
        <v>0</v>
      </c>
      <c r="C194" s="89" t="s">
        <v>51</v>
      </c>
      <c r="D194" s="49"/>
    </row>
    <row r="195" spans="1:4" ht="14.25" x14ac:dyDescent="0.3">
      <c r="A195" s="50"/>
      <c r="B195" s="50"/>
      <c r="C195" s="50"/>
      <c r="D195" s="50"/>
    </row>
    <row r="196" spans="1:4" x14ac:dyDescent="0.25">
      <c r="A196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6:B60 B65:B79 B84:B98 B103:B117 B122:B136 B141:B155 B160:B174 B179:B193 B3:B22 B27:B41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80 B99 B118 B137 B156 B175 B194" xr:uid="{AC09EF01-5E22-4EA1-BB83-D8349F85B499}">
      <formula1>0</formula1>
      <formula2>NbPerWeek * NbQuartPer</formula2>
    </dataValidation>
    <dataValidation type="list" allowBlank="1" showInputMessage="1" showErrorMessage="1" sqref="A46:A60 A65:A79 A84:A98 A103:A117 A122:A136 A141:A155 A160:A174 A179:A193 A3:A22 A27:A41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64513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8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3">
        <v>44949</v>
      </c>
      <c r="D2" s="123"/>
      <c r="E2" s="123"/>
      <c r="F2" s="123"/>
      <c r="G2" s="123">
        <v>44956</v>
      </c>
      <c r="H2" s="123"/>
      <c r="I2" s="123"/>
      <c r="J2" s="123"/>
      <c r="K2" s="123">
        <v>44963</v>
      </c>
      <c r="L2" s="123"/>
      <c r="M2" s="123"/>
      <c r="N2" s="123"/>
      <c r="O2" s="123">
        <v>44970</v>
      </c>
      <c r="P2" s="123"/>
      <c r="Q2" s="123"/>
      <c r="R2" s="123"/>
      <c r="S2" s="123">
        <v>44977</v>
      </c>
      <c r="T2" s="123"/>
      <c r="U2" s="123"/>
      <c r="V2" s="123"/>
      <c r="W2" s="123">
        <v>44984</v>
      </c>
      <c r="X2" s="123"/>
      <c r="Y2" s="123"/>
      <c r="Z2" s="123"/>
      <c r="AA2" s="123">
        <v>44991</v>
      </c>
      <c r="AB2" s="123"/>
      <c r="AC2" s="123"/>
      <c r="AD2" s="123"/>
      <c r="AE2" s="123">
        <v>44998</v>
      </c>
      <c r="AF2" s="123"/>
      <c r="AG2" s="123"/>
      <c r="AH2" s="123"/>
      <c r="AI2" s="123">
        <v>45005</v>
      </c>
      <c r="AJ2" s="123"/>
      <c r="AK2" s="123"/>
      <c r="AL2" s="123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2023-02-01T07:51:47Z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