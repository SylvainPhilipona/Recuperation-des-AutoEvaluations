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A8AD465A-F71E-4493-9CB4-D807AA50E8EC}" xr6:coauthVersionLast="45" xr6:coauthVersionMax="47" xr10:uidLastSave="{00000000-0000-0000-0000-000000000000}"/>
  <bookViews>
    <workbookView xWindow="4365" yWindow="4215" windowWidth="21600" windowHeight="11385"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4" i="171" s="1"/>
  <c r="D63" i="171" s="1"/>
  <c r="D82" i="171" s="1"/>
  <c r="D101" i="171" s="1"/>
  <c r="D120" i="171" s="1"/>
  <c r="D139" i="171" s="1"/>
  <c r="D158" i="171" s="1"/>
  <c r="D177" i="171" s="1"/>
  <c r="B194" i="171"/>
  <c r="B175" i="171"/>
  <c r="B156" i="171"/>
  <c r="B137" i="171"/>
  <c r="B118" i="171"/>
  <c r="B99" i="171"/>
  <c r="B80" i="171"/>
  <c r="B61" i="171"/>
  <c r="B42" i="171"/>
  <c r="B23" i="171"/>
  <c r="B18" i="154" l="1"/>
  <c r="B13" i="11" l="1"/>
</calcChain>
</file>

<file path=xl/sharedStrings.xml><?xml version="1.0" encoding="utf-8"?>
<sst xmlns="http://schemas.openxmlformats.org/spreadsheetml/2006/main" count="180" uniqueCount="69">
  <si>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</si>
  <si>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</si>
  <si>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</si>
  <si>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</si>
  <si>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</si>
  <si>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</si>
  <si>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</si>
  <si>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</si>
  <si>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</si>
  <si>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</si>
  <si>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</si>
  <si>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</si>
  <si>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</si>
  <si>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</si>
  <si>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</si>
  <si>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</si>
  <si>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</si>
  <si>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</si>
  <si>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</si>
  <si>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</si>
  <si>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</si>
  <si>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</si>
  <si>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</si>
  <si>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</si>
  <si>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</si>
  <si>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</si>
  <si>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</si>
  <si>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</si>
  <si>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</si>
  <si>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</si>
  <si>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</si>
  <si>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</si>
  <si>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</si>
  <si>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</si>
  <si>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</si>
  <si>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</si>
  <si>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</si>
  <si>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</si>
  <si>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</si>
  <si>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</si>
  <si>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</si>
  <si>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</si>
  <si>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</si>
  <si>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</si>
  <si>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</si>
  <si>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</si>
  <si>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</si>
  <si>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</si>
  <si>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</si>
  <si>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</si>
  <si>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</si>
  <si>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</si>
  <si>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</si>
  <si>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</si>
  <si>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</si>
  <si>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</si>
  <si>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Présenations des stages des eleves, attribution des projets</t>
  </si>
  <si>
    <t>Création du git, création de l'arborésence initiale, récupération des données à exporter et création d'une structure pour input les données des élèves dans les scripts</t>
  </si>
  <si>
    <t xml:space="preserve">Analyse du cahier des charges avec M.Gruaz, </t>
  </si>
  <si>
    <t xml:space="preserve">Planification initiale, création des user stories sur git, </t>
  </si>
  <si>
    <t>Recherche d'informations concernant les technologies PowerShell pour réaliser ce projet</t>
  </si>
  <si>
    <t>Présentation de M.Sahli sur les TPI, demande à M.Ferrari et M.Sahli pour mon chef de TPI</t>
  </si>
  <si>
    <t>Analyse des critères d'évaluation du TPI</t>
  </si>
  <si>
    <t>Remplissage du JDT, mise en forme du fichier</t>
  </si>
  <si>
    <t>Récupération de données de celules excel via PowerShell</t>
  </si>
  <si>
    <t>https://techexpert.tips/powershell/powershell-creating-excel-file/
https://stackoverflow.com/questions/37665118/how-to-open-excel-workbook-from-powershell-for-automation</t>
  </si>
  <si>
    <t>https://stackoverflow.com/questions/2249619/how-to-format-a-datetime-in-powershell</t>
  </si>
  <si>
    <t>Récupération des données d'inputs pour les auto evals (nom projet, prof...), ajout des données dans les auto evals et création des fichiers pour chaque eleves, ajout des dates formatées dans les auto evals, optimisation de l'installation automatique des packages, création d'une VM pour les tests</t>
  </si>
  <si>
    <t>Mise à jour de mon poste, appel avec mon maitre de stage concernant un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</si>
</sst>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techexpert.tips/powershell/powershell-creating-excel-file/" TargetMode="External"/><Relationship Id="rId7" Type="http://schemas.openxmlformats.org/officeDocument/2006/relationships/vmlDrawing" Target="../drawings/vmlDrawing5.v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stackoverflow.com/questions/2249619/how-to-format-a-datetime-in-powershell" TargetMode="External"/><Relationship Id="rId9" Type="http://schemas.openxmlformats.org/officeDocument/2006/relationships/image" Target="../media/image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19" t="s">
        <v>18</v>
      </c>
      <c r="C19" s="120"/>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1" t="s">
        <v>20</v>
      </c>
      <c r="C3" s="16">
        <v>0</v>
      </c>
    </row>
    <row r="4" spans="1:4" ht="19.5" customHeight="1" x14ac:dyDescent="0.25">
      <c r="A4" s="19"/>
      <c r="B4" s="12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workbookViewId="0">
      <selection activeCell="C19" sqref="C1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56</v>
      </c>
      <c r="D4" s="10"/>
    </row>
    <row r="5" spans="1:4" s="53" customFormat="1" ht="54" x14ac:dyDescent="0.25">
      <c r="A5" s="1" t="s">
        <v>33</v>
      </c>
      <c r="B5" s="2">
        <v>5</v>
      </c>
      <c r="C5" s="10" t="s">
        <v>57</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58</v>
      </c>
      <c r="D8" s="10"/>
    </row>
    <row r="9" spans="1:4" s="53" customFormat="1" ht="40.5" x14ac:dyDescent="0.25">
      <c r="A9" s="1" t="s">
        <v>31</v>
      </c>
      <c r="B9" s="2">
        <v>9</v>
      </c>
      <c r="C9" s="10" t="s">
        <v>59</v>
      </c>
      <c r="D9" s="90" t="s">
        <v>50</v>
      </c>
    </row>
    <row r="10" spans="1:4" s="53" customFormat="1" ht="40.5" x14ac:dyDescent="0.25">
      <c r="A10" s="1" t="s">
        <v>32</v>
      </c>
      <c r="B10" s="2">
        <v>6</v>
      </c>
      <c r="C10" s="10" t="s">
        <v>60</v>
      </c>
      <c r="D10" s="90" t="s">
        <v>40</v>
      </c>
    </row>
    <row r="11" spans="1:4" s="53" customFormat="1" x14ac:dyDescent="0.25">
      <c r="A11" s="1" t="s">
        <v>25</v>
      </c>
      <c r="B11" s="2">
        <v>1</v>
      </c>
      <c r="C11" s="10"/>
      <c r="D11" s="90"/>
    </row>
    <row r="12" spans="1:4" s="53" customFormat="1" ht="63.75" x14ac:dyDescent="0.25">
      <c r="A12" s="116" t="s">
        <v>33</v>
      </c>
      <c r="B12" s="116">
        <v>5</v>
      </c>
      <c r="C12" s="115" t="s">
        <v>64</v>
      </c>
      <c r="D12" s="90" t="s">
        <v>65</v>
      </c>
    </row>
    <row r="13" spans="1:4" s="53" customFormat="1" x14ac:dyDescent="0.25">
      <c r="A13" s="112"/>
      <c r="B13" s="112"/>
      <c r="C13" s="113" t="s">
        <v>54</v>
      </c>
      <c r="D13" s="114"/>
    </row>
    <row r="14" spans="1:4" s="53" customFormat="1" x14ac:dyDescent="0.25">
      <c r="A14" s="116" t="s">
        <v>26</v>
      </c>
      <c r="B14" s="116">
        <v>6</v>
      </c>
      <c r="C14" s="115" t="s">
        <v>61</v>
      </c>
      <c r="D14" s="115"/>
    </row>
    <row r="15" spans="1:4" s="53" customFormat="1" ht="27" x14ac:dyDescent="0.25">
      <c r="A15" s="51" t="s">
        <v>30</v>
      </c>
      <c r="B15" s="51">
        <v>4</v>
      </c>
      <c r="C15" s="52" t="s">
        <v>62</v>
      </c>
      <c r="D15" s="117"/>
    </row>
    <row r="16" spans="1:4" s="53" customFormat="1" x14ac:dyDescent="0.25">
      <c r="A16" s="51" t="s">
        <v>25</v>
      </c>
      <c r="B16" s="51">
        <v>2</v>
      </c>
      <c r="C16" s="52" t="s">
        <v>63</v>
      </c>
      <c r="D16" s="52"/>
    </row>
    <row r="17" spans="1:9" s="53" customFormat="1" x14ac:dyDescent="0.25">
      <c r="A17" s="112"/>
      <c r="B17" s="112"/>
      <c r="C17" s="113" t="s">
        <v>55</v>
      </c>
      <c r="D17" s="114"/>
    </row>
    <row r="18" spans="1:9" s="53" customFormat="1" x14ac:dyDescent="0.25">
      <c r="A18" s="51" t="s">
        <v>26</v>
      </c>
      <c r="B18" s="51">
        <v>4</v>
      </c>
      <c r="C18" s="52" t="s">
        <v>68</v>
      </c>
      <c r="D18" s="52"/>
    </row>
    <row r="19" spans="1:9" s="53" customFormat="1" ht="54" x14ac:dyDescent="0.25">
      <c r="A19" s="51" t="s">
        <v>33</v>
      </c>
      <c r="B19" s="51">
        <v>11</v>
      </c>
      <c r="C19" s="52" t="s">
        <v>67</v>
      </c>
      <c r="D19" s="118" t="s">
        <v>66</v>
      </c>
    </row>
    <row r="20" spans="1:9" s="53" customFormat="1" x14ac:dyDescent="0.25">
      <c r="A20" s="51" t="s">
        <v>25</v>
      </c>
      <c r="B20" s="51">
        <v>1</v>
      </c>
      <c r="C20" s="52"/>
      <c r="D20" s="52"/>
    </row>
    <row r="21" spans="1:9" s="53" customFormat="1" x14ac:dyDescent="0.25">
      <c r="A21" s="51"/>
      <c r="B21" s="51"/>
      <c r="C21" s="52"/>
      <c r="D21" s="52"/>
    </row>
    <row r="22" spans="1:9" s="53" customFormat="1" ht="14.25" thickBot="1" x14ac:dyDescent="0.3">
      <c r="A22" s="3"/>
      <c r="B22" s="3"/>
      <c r="C22" s="11"/>
      <c r="D22" s="11"/>
    </row>
    <row r="23" spans="1:9" ht="14.25" thickBot="1" x14ac:dyDescent="0.3">
      <c r="A23" s="48" t="s">
        <v>21</v>
      </c>
      <c r="B23" s="48">
        <f>SUM(B3:B22)</f>
        <v>79</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x14ac:dyDescent="0.25">
      <c r="A28" s="1"/>
      <c r="B28" s="2"/>
      <c r="C28" s="10"/>
      <c r="D28" s="10"/>
    </row>
    <row r="29" spans="1:9" x14ac:dyDescent="0.25">
      <c r="A29" s="1"/>
      <c r="B29" s="2"/>
      <c r="C29" s="10"/>
      <c r="D29" s="10"/>
      <c r="E29" s="20"/>
      <c r="F29" s="20"/>
      <c r="G29" s="20"/>
      <c r="H29" s="20"/>
      <c r="I29" s="20"/>
    </row>
    <row r="30" spans="1:9" ht="12.75" customHeight="1" x14ac:dyDescent="0.25">
      <c r="A30" s="1"/>
      <c r="B30" s="2"/>
      <c r="C30" s="10"/>
      <c r="D30" s="10"/>
      <c r="E30" s="20"/>
      <c r="F30" s="32"/>
      <c r="G30" s="33"/>
      <c r="H30" s="34"/>
      <c r="I30" s="20"/>
    </row>
    <row r="31" spans="1:9" ht="15" x14ac:dyDescent="0.25">
      <c r="A31" s="1"/>
      <c r="B31" s="2"/>
      <c r="C31" s="10"/>
      <c r="D31" s="10"/>
      <c r="E31" s="20"/>
      <c r="F31" s="35"/>
      <c r="G31" s="31"/>
      <c r="H31" s="31"/>
      <c r="I31" s="20"/>
    </row>
    <row r="32" spans="1:9" x14ac:dyDescent="0.25">
      <c r="A32" s="1"/>
      <c r="B32" s="2"/>
      <c r="C32" s="10"/>
      <c r="D32" s="10"/>
      <c r="E32" s="20"/>
      <c r="F32" s="37"/>
      <c r="G32" s="38"/>
      <c r="H32" s="38"/>
      <c r="I32" s="20"/>
    </row>
    <row r="33" spans="1:9" x14ac:dyDescent="0.25">
      <c r="A33" s="1"/>
      <c r="B33" s="2"/>
      <c r="C33" s="10"/>
      <c r="D33" s="10"/>
      <c r="E33" s="20"/>
      <c r="F33" s="37"/>
      <c r="G33" s="38"/>
      <c r="H33" s="38"/>
      <c r="I33" s="20"/>
    </row>
    <row r="34" spans="1:9" x14ac:dyDescent="0.25">
      <c r="A34" s="1"/>
      <c r="B34" s="2"/>
      <c r="C34" s="10"/>
      <c r="D34" s="10"/>
      <c r="E34" s="20"/>
      <c r="F34" s="37"/>
      <c r="G34" s="38"/>
      <c r="H34" s="38"/>
      <c r="I34" s="20"/>
    </row>
    <row r="35" spans="1:9" x14ac:dyDescent="0.25">
      <c r="A35" s="1"/>
      <c r="B35" s="2"/>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21</v>
      </c>
      <c r="B42" s="48">
        <f>SUM(B27:B41)</f>
        <v>0</v>
      </c>
      <c r="C42" s="89" t="s">
        <v>51</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$D$25+7</f>
        <v>44963</v>
      </c>
      <c r="E44" s="20"/>
      <c r="F44" s="20"/>
      <c r="G44" s="20"/>
      <c r="H44" s="20"/>
      <c r="I44" s="20"/>
    </row>
    <row r="45" spans="1:9" ht="27.75" thickBot="1" x14ac:dyDescent="0.3">
      <c r="A45" s="46" t="s">
        <v>2</v>
      </c>
      <c r="B45" s="47" t="s">
        <v>14</v>
      </c>
      <c r="C45" s="46" t="s">
        <v>6</v>
      </c>
      <c r="D45" s="46" t="s">
        <v>12</v>
      </c>
    </row>
    <row r="46" spans="1:9" x14ac:dyDescent="0.25">
      <c r="A46" s="5"/>
      <c r="B46" s="4"/>
      <c r="C46" s="9"/>
      <c r="D46" s="9"/>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21</v>
      </c>
      <c r="B61" s="48">
        <f>SUM(B46:B60)</f>
        <v>0</v>
      </c>
      <c r="C61" s="89" t="s">
        <v>51</v>
      </c>
      <c r="D61" s="49"/>
    </row>
    <row r="62" spans="1:4" ht="15" thickBot="1" x14ac:dyDescent="0.35">
      <c r="A62" s="50"/>
      <c r="B62" s="50"/>
      <c r="C62" s="50"/>
      <c r="D62" s="50"/>
    </row>
    <row r="63" spans="1:4" ht="18.75" thickBot="1" x14ac:dyDescent="0.3">
      <c r="A63" s="43" t="s">
        <v>13</v>
      </c>
      <c r="B63" s="44">
        <v>4</v>
      </c>
      <c r="C63" s="45" t="s">
        <v>22</v>
      </c>
      <c r="D63" s="54">
        <f>$D$44+7</f>
        <v>44970</v>
      </c>
    </row>
    <row r="64" spans="1:4" ht="27.75" thickBot="1" x14ac:dyDescent="0.3">
      <c r="A64" s="46" t="s">
        <v>2</v>
      </c>
      <c r="B64" s="47" t="s">
        <v>14</v>
      </c>
      <c r="C64" s="46" t="s">
        <v>6</v>
      </c>
      <c r="D64" s="46" t="s">
        <v>12</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21</v>
      </c>
      <c r="B80" s="48">
        <f>SUM(B65:B79)</f>
        <v>0</v>
      </c>
      <c r="C80" s="89" t="s">
        <v>51</v>
      </c>
      <c r="D80" s="49"/>
    </row>
    <row r="81" spans="1:4" ht="15" thickBot="1" x14ac:dyDescent="0.35">
      <c r="A81" s="50"/>
      <c r="B81" s="50"/>
      <c r="C81" s="50"/>
      <c r="D81" s="50"/>
    </row>
    <row r="82" spans="1:4" ht="18.75" thickBot="1" x14ac:dyDescent="0.3">
      <c r="A82" s="43" t="s">
        <v>13</v>
      </c>
      <c r="B82" s="44">
        <v>5</v>
      </c>
      <c r="C82" s="45" t="s">
        <v>22</v>
      </c>
      <c r="D82" s="54">
        <f>$D$63+7</f>
        <v>44977</v>
      </c>
    </row>
    <row r="83" spans="1:4" ht="27.75" thickBot="1" x14ac:dyDescent="0.3">
      <c r="A83" s="46" t="s">
        <v>2</v>
      </c>
      <c r="B83" s="47" t="s">
        <v>14</v>
      </c>
      <c r="C83" s="46" t="s">
        <v>6</v>
      </c>
      <c r="D83" s="46" t="s">
        <v>12</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6:B60 B65:B79 B84:B98 B103:B117 B122:B136 B141:B155 B160:B174 B179:B193 B27:B41 B3:B22"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2 B61 B80 B99 B118 B137 B156 B175 B194" xr:uid="{AC09EF01-5E22-4EA1-BB83-D8349F85B499}">
      <formula1>0</formula1>
      <formula2>NbPerWeek * NbQuartPer</formula2>
    </dataValidation>
    <dataValidation type="list" allowBlank="1" showInputMessage="1" showErrorMessage="1" sqref="A46:A60 A65:A79 A84:A98 A103:A117 A122:A136 A141:A155 A160:A174 A179:A193 A27:A41 A3:A22"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6451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64513" r:id="rId8"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3" t="s">
        <v>41</v>
      </c>
      <c r="D3" s="123"/>
      <c r="E3" s="123"/>
      <c r="F3" s="123"/>
      <c r="G3" s="123" t="s">
        <v>42</v>
      </c>
      <c r="H3" s="123"/>
      <c r="I3" s="123"/>
      <c r="J3" s="123"/>
      <c r="K3" s="123" t="s">
        <v>43</v>
      </c>
      <c r="L3" s="123"/>
      <c r="M3" s="123"/>
      <c r="N3" s="123"/>
      <c r="O3" s="123" t="s">
        <v>44</v>
      </c>
      <c r="P3" s="123"/>
      <c r="Q3" s="123"/>
      <c r="R3" s="123"/>
      <c r="S3" s="123" t="s">
        <v>45</v>
      </c>
      <c r="T3" s="123"/>
      <c r="U3" s="123"/>
      <c r="V3" s="123"/>
      <c r="W3" s="123" t="s">
        <v>46</v>
      </c>
      <c r="X3" s="123"/>
      <c r="Y3" s="123"/>
      <c r="Z3" s="123"/>
      <c r="AA3" s="123" t="s">
        <v>47</v>
      </c>
      <c r="AB3" s="123"/>
      <c r="AC3" s="123"/>
      <c r="AD3" s="123"/>
      <c r="AE3" s="123" t="s">
        <v>48</v>
      </c>
      <c r="AF3" s="123"/>
      <c r="AG3" s="123"/>
      <c r="AH3" s="123"/>
      <c r="AI3" s="123" t="s">
        <v>49</v>
      </c>
      <c r="AJ3" s="123"/>
      <c r="AK3" s="123"/>
      <c r="AL3" s="123"/>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2023-01-27T14:22:48Z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