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271BE792-AC4F-42C3-8D13-9E555102412E}"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71" l="1"/>
  <c r="D25" i="171" s="1"/>
  <c r="D44" i="171" s="1"/>
  <c r="D63" i="171" s="1"/>
  <c r="D82" i="171" s="1"/>
  <c r="D101" i="171" s="1"/>
  <c r="D120" i="171" s="1"/>
  <c r="D139" i="171" s="1"/>
  <c r="D158" i="171" s="1"/>
  <c r="D177" i="171" s="1"/>
  <c r="B194" i="171"/>
  <c r="B175" i="171"/>
  <c r="B156" i="171"/>
  <c r="B137" i="171"/>
  <c r="B118" i="171"/>
  <c r="B99" i="171"/>
  <c r="B80" i="171"/>
  <c r="B61" i="171"/>
  <c r="B42" i="171"/>
  <c r="B23" i="171"/>
  <c r="B18" i="154" l="1"/>
  <c r="B13" i="11" l="1"/>
</calcChain>
</file>

<file path=xl/sharedStrings.xml><?xml version="1.0" encoding="utf-8"?>
<sst xmlns="http://schemas.openxmlformats.org/spreadsheetml/2006/main" count="188" uniqueCount="73">
  <si>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</si>
  <si>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</si>
  <si>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</si>
  <si>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</si>
  <si>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</si>
  <si>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</si>
  <si>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</si>
  <si>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</si>
  <si>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</si>
  <si>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</si>
  <si>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</si>
  <si>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</si>
  <si>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</si>
  <si>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</si>
  <si>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</si>
  <si>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</si>
  <si>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</si>
  <si>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</si>
  <si>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</si>
  <si>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</si>
  <si>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</si>
  <si>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</si>
  <si>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</si>
  <si>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</si>
  <si>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</si>
  <si>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</si>
  <si>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</si>
  <si>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</si>
  <si>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</si>
  <si>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</si>
  <si>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</si>
  <si>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</si>
  <si>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</si>
  <si>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</si>
  <si>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</si>
  <si>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</si>
  <si>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</si>
  <si>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</si>
  <si>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</si>
  <si>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</si>
  <si>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</si>
  <si>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</si>
  <si>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</si>
  <si>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</si>
  <si>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</si>
  <si>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</si>
  <si>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</si>
  <si>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</si>
  <si>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</si>
  <si>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</si>
  <si>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</si>
  <si>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</si>
  <si>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</si>
  <si>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</si>
  <si>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</si>
  <si>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</si>
  <si>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Présenations des stages des eleves, attribution des projets</t>
  </si>
  <si>
    <t>Création du git, création de l'arborésence initiale, récupération des données à exporter et création d'une structure pour input les données des élèves dans les scripts</t>
  </si>
  <si>
    <t xml:space="preserve">Analyse du cahier des charges avec M.Gruaz, </t>
  </si>
  <si>
    <t xml:space="preserve">Planification initiale, création des user stories sur git, </t>
  </si>
  <si>
    <t>Recherche d'informations concernant les technologies PowerShell pour réaliser ce projet</t>
  </si>
  <si>
    <t>Présentation de M.Sahli sur les TPI, demande à M.Ferrari et M.Sahli pour mon chef de TPI</t>
  </si>
  <si>
    <t>Analyse des critères d'évaluation du TPI</t>
  </si>
  <si>
    <t>Remplissage du JDT, mise en forme du fichier</t>
  </si>
  <si>
    <t>Récupération de données de celules excel via PowerShell</t>
  </si>
  <si>
    <t>https://techexpert.tips/powershell/powershell-creating-excel-file/
https://stackoverflow.com/questions/37665118/how-to-open-excel-workbook-from-powershell-for-automation</t>
  </si>
  <si>
    <t>https://stackoverflow.com/questions/2249619/how-to-format-a-datetime-in-powershell</t>
  </si>
  <si>
    <t>Mise à jour de mon poste, appel avec mon maitre de stage concernant un script</t>
  </si>
  <si>
    <t>Récupération des données d'inputs pour les auto evals (nom projet, prof...), ajout des données dans les auto evals et création des fichiers pour chaque eleves, ajout des dates formatées dans les auto evals, optimisation de l'installation automatique des packages, création d'une VM pour les tests, protection des cellules du modèle</t>
  </si>
  <si>
    <t>Rédaction du rapport</t>
  </si>
  <si>
    <t>http://ramblingcookiemonster.github.io/PowerShell-Configuration-Data/
https://learn.microsoft.com/en-us/powershell/scripting/developer/module/how-to-write-a-powershell-module-manifest?view=powershell-7.3 
https://social.technet.microsoft.com/Forums/office/en-US/e5d8594b-b14b-4a54-913c-61089b5d9ab4/release-or-delete-a-com-object-from-powershell?forum=winserverpowershell</t>
  </si>
  <si>
    <t xml:space="preserve">Ajout de verification des données en input par l'utilisateur (Fichiers existants, données présentes...), Optimisation de la modification en ajoutant des constantes dans un fichier Config, </t>
  </si>
  <si>
    <t>Test de génération sur un environement clean (VM) et avec des valeurs differentes dans les configurations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</si>
</sst>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techexpert.tips/powershell/powershell-creating-excel-file/" TargetMode="External"/><Relationship Id="rId7" Type="http://schemas.openxmlformats.org/officeDocument/2006/relationships/vmlDrawing" Target="../drawings/vmlDrawing5.v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stackoverflow.com/questions/2249619/how-to-format-a-datetime-in-powershell" TargetMode="External"/><Relationship Id="rId9" Type="http://schemas.openxmlformats.org/officeDocument/2006/relationships/image" Target="../media/image7.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19" t="s">
        <v>18</v>
      </c>
      <c r="C19" s="120"/>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1" t="s">
        <v>20</v>
      </c>
      <c r="C3" s="16">
        <v>0</v>
      </c>
    </row>
    <row r="4" spans="1:4" ht="19.5" customHeight="1" x14ac:dyDescent="0.25">
      <c r="A4" s="19"/>
      <c r="B4" s="12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abSelected="1" topLeftCell="A19"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56</v>
      </c>
      <c r="D4" s="10"/>
    </row>
    <row r="5" spans="1:4" s="53" customFormat="1" ht="54" x14ac:dyDescent="0.25">
      <c r="A5" s="1" t="s">
        <v>33</v>
      </c>
      <c r="B5" s="2">
        <v>5</v>
      </c>
      <c r="C5" s="10" t="s">
        <v>57</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58</v>
      </c>
      <c r="D8" s="10"/>
    </row>
    <row r="9" spans="1:4" s="53" customFormat="1" ht="40.5" x14ac:dyDescent="0.25">
      <c r="A9" s="1" t="s">
        <v>31</v>
      </c>
      <c r="B9" s="2">
        <v>9</v>
      </c>
      <c r="C9" s="10" t="s">
        <v>59</v>
      </c>
      <c r="D9" s="90" t="s">
        <v>50</v>
      </c>
    </row>
    <row r="10" spans="1:4" s="53" customFormat="1" ht="40.5" x14ac:dyDescent="0.25">
      <c r="A10" s="1" t="s">
        <v>32</v>
      </c>
      <c r="B10" s="2">
        <v>6</v>
      </c>
      <c r="C10" s="10" t="s">
        <v>60</v>
      </c>
      <c r="D10" s="90" t="s">
        <v>40</v>
      </c>
    </row>
    <row r="11" spans="1:4" s="53" customFormat="1" x14ac:dyDescent="0.25">
      <c r="A11" s="1" t="s">
        <v>25</v>
      </c>
      <c r="B11" s="2">
        <v>1</v>
      </c>
      <c r="C11" s="10"/>
      <c r="D11" s="90"/>
    </row>
    <row r="12" spans="1:4" s="53" customFormat="1" ht="63.75" x14ac:dyDescent="0.25">
      <c r="A12" s="116" t="s">
        <v>33</v>
      </c>
      <c r="B12" s="116">
        <v>5</v>
      </c>
      <c r="C12" s="115" t="s">
        <v>64</v>
      </c>
      <c r="D12" s="90" t="s">
        <v>65</v>
      </c>
    </row>
    <row r="13" spans="1:4" s="53" customFormat="1" x14ac:dyDescent="0.25">
      <c r="A13" s="112"/>
      <c r="B13" s="112"/>
      <c r="C13" s="113" t="s">
        <v>54</v>
      </c>
      <c r="D13" s="114"/>
    </row>
    <row r="14" spans="1:4" s="53" customFormat="1" x14ac:dyDescent="0.25">
      <c r="A14" s="116" t="s">
        <v>26</v>
      </c>
      <c r="B14" s="116">
        <v>6</v>
      </c>
      <c r="C14" s="115" t="s">
        <v>61</v>
      </c>
      <c r="D14" s="115"/>
    </row>
    <row r="15" spans="1:4" s="53" customFormat="1" ht="27" x14ac:dyDescent="0.25">
      <c r="A15" s="51" t="s">
        <v>30</v>
      </c>
      <c r="B15" s="51">
        <v>4</v>
      </c>
      <c r="C15" s="52" t="s">
        <v>62</v>
      </c>
      <c r="D15" s="117"/>
    </row>
    <row r="16" spans="1:4" s="53" customFormat="1" x14ac:dyDescent="0.25">
      <c r="A16" s="51" t="s">
        <v>25</v>
      </c>
      <c r="B16" s="51">
        <v>2</v>
      </c>
      <c r="C16" s="52" t="s">
        <v>63</v>
      </c>
      <c r="D16" s="52"/>
    </row>
    <row r="17" spans="1:9" s="53" customFormat="1" x14ac:dyDescent="0.25">
      <c r="A17" s="112"/>
      <c r="B17" s="112"/>
      <c r="C17" s="113" t="s">
        <v>55</v>
      </c>
      <c r="D17" s="114"/>
    </row>
    <row r="18" spans="1:9" s="53" customFormat="1" x14ac:dyDescent="0.25">
      <c r="A18" s="51" t="s">
        <v>26</v>
      </c>
      <c r="B18" s="51">
        <v>6</v>
      </c>
      <c r="C18" s="52" t="s">
        <v>67</v>
      </c>
      <c r="D18" s="52"/>
    </row>
    <row r="19" spans="1:9" s="53" customFormat="1" ht="54" x14ac:dyDescent="0.25">
      <c r="A19" s="51" t="s">
        <v>33</v>
      </c>
      <c r="B19" s="51">
        <v>16</v>
      </c>
      <c r="C19" s="52" t="s">
        <v>68</v>
      </c>
      <c r="D19" s="118" t="s">
        <v>66</v>
      </c>
    </row>
    <row r="20" spans="1:9" s="53" customFormat="1" x14ac:dyDescent="0.25">
      <c r="A20" s="51" t="s">
        <v>25</v>
      </c>
      <c r="B20" s="51">
        <v>1</v>
      </c>
      <c r="C20" s="52"/>
      <c r="D20" s="52"/>
    </row>
    <row r="21" spans="1:9" s="53" customFormat="1" ht="27" x14ac:dyDescent="0.25">
      <c r="A21" s="51" t="s">
        <v>39</v>
      </c>
      <c r="B21" s="51">
        <v>4</v>
      </c>
      <c r="C21" s="52" t="s">
        <v>69</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175.5" x14ac:dyDescent="0.25">
      <c r="A28" s="1" t="s">
        <v>33</v>
      </c>
      <c r="B28" s="2">
        <v>15</v>
      </c>
      <c r="C28" s="10" t="s">
        <v>71</v>
      </c>
      <c r="D28" s="10" t="s">
        <v>70</v>
      </c>
    </row>
    <row r="29" spans="1:9" x14ac:dyDescent="0.25">
      <c r="A29" s="1" t="s">
        <v>25</v>
      </c>
      <c r="B29" s="2">
        <v>1</v>
      </c>
      <c r="C29" s="10"/>
      <c r="D29" s="10"/>
      <c r="E29" s="20"/>
      <c r="F29" s="20"/>
      <c r="G29" s="20"/>
      <c r="H29" s="20"/>
      <c r="I29" s="20"/>
    </row>
    <row r="30" spans="1:9" ht="42" customHeight="1" x14ac:dyDescent="0.25">
      <c r="A30" s="1" t="s">
        <v>34</v>
      </c>
      <c r="B30" s="2">
        <v>2</v>
      </c>
      <c r="C30" s="10" t="s">
        <v>72</v>
      </c>
      <c r="D30" s="10"/>
      <c r="E30" s="20"/>
      <c r="F30" s="32"/>
      <c r="G30" s="33"/>
      <c r="H30" s="34"/>
      <c r="I30" s="20"/>
    </row>
    <row r="31" spans="1:9" ht="15" x14ac:dyDescent="0.25">
      <c r="A31" s="1"/>
      <c r="B31" s="2"/>
      <c r="C31" s="10"/>
      <c r="D31" s="10"/>
      <c r="E31" s="20"/>
      <c r="F31" s="35"/>
      <c r="G31" s="31"/>
      <c r="H31" s="31"/>
      <c r="I31" s="20"/>
    </row>
    <row r="32" spans="1:9" x14ac:dyDescent="0.25">
      <c r="A32" s="1"/>
      <c r="B32" s="2"/>
      <c r="C32" s="90"/>
      <c r="D32" s="10"/>
      <c r="E32" s="20"/>
      <c r="F32" s="37"/>
      <c r="G32" s="38"/>
      <c r="H32" s="38"/>
      <c r="I32" s="20"/>
    </row>
    <row r="33" spans="1:9" x14ac:dyDescent="0.25">
      <c r="A33" s="1"/>
      <c r="B33" s="2"/>
      <c r="C33" s="10"/>
      <c r="D33" s="10"/>
      <c r="E33" s="20"/>
      <c r="F33" s="37"/>
      <c r="G33" s="38"/>
      <c r="H33" s="38"/>
      <c r="I33" s="20"/>
    </row>
    <row r="34" spans="1:9" x14ac:dyDescent="0.25">
      <c r="A34" s="1"/>
      <c r="B34" s="2"/>
      <c r="C34" s="10"/>
      <c r="D34" s="10"/>
      <c r="E34" s="20"/>
      <c r="F34" s="37"/>
      <c r="G34" s="38"/>
      <c r="H34" s="38"/>
      <c r="I34" s="20"/>
    </row>
    <row r="35" spans="1:9" x14ac:dyDescent="0.25">
      <c r="A35" s="1"/>
      <c r="B35" s="2"/>
      <c r="C35" s="10"/>
      <c r="D35" s="10"/>
      <c r="E35" s="20"/>
      <c r="F35" s="37"/>
      <c r="G35" s="38"/>
      <c r="H35" s="38"/>
      <c r="I35" s="20"/>
    </row>
    <row r="36" spans="1:9" x14ac:dyDescent="0.25">
      <c r="A36" s="2"/>
      <c r="B36" s="2"/>
      <c r="C36" s="10"/>
      <c r="D36" s="10"/>
      <c r="E36" s="20"/>
      <c r="F36" s="37"/>
      <c r="G36" s="38"/>
      <c r="H36" s="38"/>
      <c r="I36" s="20"/>
    </row>
    <row r="37" spans="1:9" x14ac:dyDescent="0.25">
      <c r="A37" s="2"/>
      <c r="B37" s="2"/>
      <c r="C37" s="10"/>
      <c r="D37" s="10"/>
      <c r="E37" s="20"/>
      <c r="F37" s="37"/>
      <c r="G37" s="38"/>
      <c r="H37" s="38"/>
      <c r="I37" s="20"/>
    </row>
    <row r="38" spans="1:9" x14ac:dyDescent="0.25">
      <c r="A38" s="2"/>
      <c r="B38" s="2"/>
      <c r="C38" s="10"/>
      <c r="D38" s="10"/>
      <c r="E38" s="20"/>
      <c r="F38" s="37"/>
      <c r="G38" s="38"/>
      <c r="H38" s="38"/>
      <c r="I38" s="20"/>
    </row>
    <row r="39" spans="1:9" x14ac:dyDescent="0.25">
      <c r="A39" s="51"/>
      <c r="B39" s="51"/>
      <c r="C39" s="52"/>
      <c r="D39" s="52"/>
      <c r="E39" s="20"/>
      <c r="F39" s="37"/>
      <c r="G39" s="38"/>
      <c r="H39" s="38"/>
      <c r="I39" s="20"/>
    </row>
    <row r="40" spans="1:9" x14ac:dyDescent="0.25">
      <c r="A40" s="51"/>
      <c r="B40" s="51"/>
      <c r="C40" s="52"/>
      <c r="D40" s="52"/>
      <c r="E40" s="20"/>
      <c r="F40" s="39"/>
      <c r="G40" s="40"/>
      <c r="H40" s="40"/>
      <c r="I40" s="20"/>
    </row>
    <row r="41" spans="1:9" ht="15" thickBot="1" x14ac:dyDescent="0.35">
      <c r="A41" s="3"/>
      <c r="B41" s="3"/>
      <c r="C41" s="11"/>
      <c r="D41" s="11"/>
      <c r="E41" s="20"/>
      <c r="F41" s="41"/>
      <c r="G41" s="41"/>
      <c r="H41" s="41"/>
      <c r="I41" s="20"/>
    </row>
    <row r="42" spans="1:9" ht="14.25" thickBot="1" x14ac:dyDescent="0.3">
      <c r="A42" s="48" t="s">
        <v>21</v>
      </c>
      <c r="B42" s="48">
        <f>SUM(B27:B41)</f>
        <v>18</v>
      </c>
      <c r="C42" s="89" t="s">
        <v>51</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$D$25+7</f>
        <v>44963</v>
      </c>
      <c r="E44" s="20"/>
      <c r="F44" s="20"/>
      <c r="G44" s="20"/>
      <c r="H44" s="20"/>
      <c r="I44" s="20"/>
    </row>
    <row r="45" spans="1:9" ht="27.75" thickBot="1" x14ac:dyDescent="0.3">
      <c r="A45" s="46" t="s">
        <v>2</v>
      </c>
      <c r="B45" s="47" t="s">
        <v>14</v>
      </c>
      <c r="C45" s="46" t="s">
        <v>6</v>
      </c>
      <c r="D45" s="46" t="s">
        <v>12</v>
      </c>
    </row>
    <row r="46" spans="1:9" x14ac:dyDescent="0.25">
      <c r="A46" s="5"/>
      <c r="B46" s="4"/>
      <c r="C46" s="9"/>
      <c r="D46" s="9"/>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1"/>
      <c r="B51" s="2"/>
      <c r="C51" s="10"/>
      <c r="D51" s="10"/>
    </row>
    <row r="52" spans="1:4" x14ac:dyDescent="0.25">
      <c r="A52" s="1"/>
      <c r="B52" s="2"/>
      <c r="C52" s="10"/>
      <c r="D52" s="10"/>
    </row>
    <row r="53" spans="1:4" x14ac:dyDescent="0.25">
      <c r="A53" s="1"/>
      <c r="B53" s="2"/>
      <c r="C53" s="10"/>
      <c r="D53" s="10"/>
    </row>
    <row r="54" spans="1:4" x14ac:dyDescent="0.25">
      <c r="A54" s="1"/>
      <c r="B54" s="2"/>
      <c r="C54" s="10"/>
      <c r="D54" s="10"/>
    </row>
    <row r="55" spans="1:4" x14ac:dyDescent="0.25">
      <c r="A55" s="2"/>
      <c r="B55" s="2"/>
      <c r="C55" s="10"/>
      <c r="D55" s="10"/>
    </row>
    <row r="56" spans="1:4" x14ac:dyDescent="0.25">
      <c r="A56" s="2"/>
      <c r="B56" s="2"/>
      <c r="C56" s="10"/>
      <c r="D56" s="10"/>
    </row>
    <row r="57" spans="1:4" x14ac:dyDescent="0.25">
      <c r="A57" s="2"/>
      <c r="B57" s="2"/>
      <c r="C57" s="10"/>
      <c r="D57" s="10"/>
    </row>
    <row r="58" spans="1:4" x14ac:dyDescent="0.25">
      <c r="A58" s="51"/>
      <c r="B58" s="51"/>
      <c r="C58" s="52"/>
      <c r="D58" s="52"/>
    </row>
    <row r="59" spans="1:4" x14ac:dyDescent="0.25">
      <c r="A59" s="51"/>
      <c r="B59" s="51"/>
      <c r="C59" s="52"/>
      <c r="D59" s="52"/>
    </row>
    <row r="60" spans="1:4" ht="14.25" thickBot="1" x14ac:dyDescent="0.3">
      <c r="A60" s="3"/>
      <c r="B60" s="3"/>
      <c r="C60" s="11"/>
      <c r="D60" s="11"/>
    </row>
    <row r="61" spans="1:4" ht="14.25" thickBot="1" x14ac:dyDescent="0.3">
      <c r="A61" s="48" t="s">
        <v>21</v>
      </c>
      <c r="B61" s="48">
        <f>SUM(B46:B60)</f>
        <v>0</v>
      </c>
      <c r="C61" s="89" t="s">
        <v>51</v>
      </c>
      <c r="D61" s="49"/>
    </row>
    <row r="62" spans="1:4" ht="15" thickBot="1" x14ac:dyDescent="0.35">
      <c r="A62" s="50"/>
      <c r="B62" s="50"/>
      <c r="C62" s="50"/>
      <c r="D62" s="50"/>
    </row>
    <row r="63" spans="1:4" ht="18.75" thickBot="1" x14ac:dyDescent="0.3">
      <c r="A63" s="43" t="s">
        <v>13</v>
      </c>
      <c r="B63" s="44">
        <v>4</v>
      </c>
      <c r="C63" s="45" t="s">
        <v>22</v>
      </c>
      <c r="D63" s="54">
        <f>$D$44+7</f>
        <v>44970</v>
      </c>
    </row>
    <row r="64" spans="1:4" ht="27.75" thickBot="1" x14ac:dyDescent="0.3">
      <c r="A64" s="46" t="s">
        <v>2</v>
      </c>
      <c r="B64" s="47" t="s">
        <v>14</v>
      </c>
      <c r="C64" s="46" t="s">
        <v>6</v>
      </c>
      <c r="D64" s="46" t="s">
        <v>12</v>
      </c>
    </row>
    <row r="65" spans="1:4" x14ac:dyDescent="0.25">
      <c r="A65" s="5"/>
      <c r="B65" s="4"/>
      <c r="C65" s="9"/>
      <c r="D65" s="9"/>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1"/>
      <c r="B69" s="2"/>
      <c r="C69" s="10"/>
      <c r="D69" s="10"/>
    </row>
    <row r="70" spans="1:4" x14ac:dyDescent="0.25">
      <c r="A70" s="1"/>
      <c r="B70" s="2"/>
      <c r="C70" s="10"/>
      <c r="D70" s="10"/>
    </row>
    <row r="71" spans="1:4" x14ac:dyDescent="0.25">
      <c r="A71" s="1"/>
      <c r="B71" s="2"/>
      <c r="C71" s="10"/>
      <c r="D71" s="10"/>
    </row>
    <row r="72" spans="1:4" x14ac:dyDescent="0.25">
      <c r="A72" s="1"/>
      <c r="B72" s="2"/>
      <c r="C72" s="10"/>
      <c r="D72" s="10"/>
    </row>
    <row r="73" spans="1:4" x14ac:dyDescent="0.25">
      <c r="A73" s="1"/>
      <c r="B73" s="2"/>
      <c r="C73" s="10"/>
      <c r="D73" s="10"/>
    </row>
    <row r="74" spans="1:4" x14ac:dyDescent="0.25">
      <c r="A74" s="2"/>
      <c r="B74" s="2"/>
      <c r="C74" s="10"/>
      <c r="D74" s="10"/>
    </row>
    <row r="75" spans="1:4" x14ac:dyDescent="0.25">
      <c r="A75" s="2"/>
      <c r="B75" s="2"/>
      <c r="C75" s="10"/>
      <c r="D75" s="10"/>
    </row>
    <row r="76" spans="1:4" x14ac:dyDescent="0.25">
      <c r="A76" s="2"/>
      <c r="B76" s="2"/>
      <c r="C76" s="10"/>
      <c r="D76" s="10"/>
    </row>
    <row r="77" spans="1:4" x14ac:dyDescent="0.25">
      <c r="A77" s="51"/>
      <c r="B77" s="51"/>
      <c r="C77" s="52"/>
      <c r="D77" s="52"/>
    </row>
    <row r="78" spans="1:4" x14ac:dyDescent="0.25">
      <c r="A78" s="51"/>
      <c r="B78" s="51"/>
      <c r="C78" s="52"/>
      <c r="D78" s="52"/>
    </row>
    <row r="79" spans="1:4" ht="14.25" thickBot="1" x14ac:dyDescent="0.3">
      <c r="A79" s="3"/>
      <c r="B79" s="3"/>
      <c r="C79" s="11"/>
      <c r="D79" s="11"/>
    </row>
    <row r="80" spans="1:4" ht="14.25" thickBot="1" x14ac:dyDescent="0.3">
      <c r="A80" s="48" t="s">
        <v>21</v>
      </c>
      <c r="B80" s="48">
        <f>SUM(B65:B79)</f>
        <v>0</v>
      </c>
      <c r="C80" s="89" t="s">
        <v>51</v>
      </c>
      <c r="D80" s="49"/>
    </row>
    <row r="81" spans="1:4" ht="15" thickBot="1" x14ac:dyDescent="0.35">
      <c r="A81" s="50"/>
      <c r="B81" s="50"/>
      <c r="C81" s="50"/>
      <c r="D81" s="50"/>
    </row>
    <row r="82" spans="1:4" ht="18.75" thickBot="1" x14ac:dyDescent="0.3">
      <c r="A82" s="43" t="s">
        <v>13</v>
      </c>
      <c r="B82" s="44">
        <v>5</v>
      </c>
      <c r="C82" s="45" t="s">
        <v>22</v>
      </c>
      <c r="D82" s="54">
        <f>$D$63+7</f>
        <v>44977</v>
      </c>
    </row>
    <row r="83" spans="1:4" ht="27.75" thickBot="1" x14ac:dyDescent="0.3">
      <c r="A83" s="46" t="s">
        <v>2</v>
      </c>
      <c r="B83" s="47" t="s">
        <v>14</v>
      </c>
      <c r="C83" s="46" t="s">
        <v>6</v>
      </c>
      <c r="D83" s="46" t="s">
        <v>12</v>
      </c>
    </row>
    <row r="84" spans="1:4" x14ac:dyDescent="0.25">
      <c r="A84" s="5"/>
      <c r="B84" s="4"/>
      <c r="C84" s="9"/>
      <c r="D84" s="9"/>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5"/>
      <c r="B103" s="4"/>
      <c r="C103" s="9"/>
      <c r="D103" s="9"/>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0</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6:B60 B65:B79 B84:B98 B103:B117 B122:B136 B141:B155 B160:B174 B179:B193 B27:B41 B3:B22"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2 B61 B80 B99 B118 B137 B156 B175 B194" xr:uid="{AC09EF01-5E22-4EA1-BB83-D8349F85B499}">
      <formula1>0</formula1>
      <formula2>NbPerWeek * NbQuartPer</formula2>
    </dataValidation>
    <dataValidation type="list" allowBlank="1" showInputMessage="1" showErrorMessage="1" sqref="A46:A60 A65:A79 A84:A98 A103:A117 A122:A136 A141:A155 A160:A174 A179:A193 A27:A41 A3:A22"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64513"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64513" r:id="rId8"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dimension ref="B2:AL14"/>
  <sheetViews>
    <sheetView workbookViewId="0">
      <selection activeCell="AN10" sqref="AN10"/>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3" t="s">
        <v>41</v>
      </c>
      <c r="D3" s="123"/>
      <c r="E3" s="123"/>
      <c r="F3" s="123"/>
      <c r="G3" s="123" t="s">
        <v>42</v>
      </c>
      <c r="H3" s="123"/>
      <c r="I3" s="123"/>
      <c r="J3" s="123"/>
      <c r="K3" s="123" t="s">
        <v>43</v>
      </c>
      <c r="L3" s="123"/>
      <c r="M3" s="123"/>
      <c r="N3" s="123"/>
      <c r="O3" s="123" t="s">
        <v>44</v>
      </c>
      <c r="P3" s="123"/>
      <c r="Q3" s="123"/>
      <c r="R3" s="123"/>
      <c r="S3" s="123" t="s">
        <v>45</v>
      </c>
      <c r="T3" s="123"/>
      <c r="U3" s="123"/>
      <c r="V3" s="123"/>
      <c r="W3" s="123" t="s">
        <v>46</v>
      </c>
      <c r="X3" s="123"/>
      <c r="Y3" s="123"/>
      <c r="Z3" s="123"/>
      <c r="AA3" s="123" t="s">
        <v>47</v>
      </c>
      <c r="AB3" s="123"/>
      <c r="AC3" s="123"/>
      <c r="AD3" s="123"/>
      <c r="AE3" s="123" t="s">
        <v>48</v>
      </c>
      <c r="AF3" s="123"/>
      <c r="AG3" s="123"/>
      <c r="AH3" s="123"/>
      <c r="AI3" s="123" t="s">
        <v>49</v>
      </c>
      <c r="AJ3" s="123"/>
      <c r="AK3" s="123"/>
      <c r="AL3" s="123"/>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2023-01-30T11:43:06Z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