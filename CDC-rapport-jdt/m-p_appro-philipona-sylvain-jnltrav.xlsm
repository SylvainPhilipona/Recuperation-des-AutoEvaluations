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74F56AD9-6304-453A-BA3A-A875B079061F}" xr6:coauthVersionLast="45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5" i="171" s="1"/>
  <c r="D44" i="171" s="1"/>
  <c r="D63" i="171" s="1"/>
  <c r="D82" i="171" s="1"/>
  <c r="D101" i="171" s="1"/>
  <c r="D120" i="171" s="1"/>
  <c r="D139" i="171" s="1"/>
  <c r="D158" i="171" s="1"/>
  <c r="D177" i="171" s="1"/>
  <c r="B194" i="171"/>
  <c r="B175" i="171"/>
  <c r="B156" i="171"/>
  <c r="B137" i="171"/>
  <c r="B118" i="171"/>
  <c r="B99" i="171"/>
  <c r="B80" i="171"/>
  <c r="B61" i="171"/>
  <c r="B42" i="171"/>
  <c r="B23" i="171"/>
  <c r="B18" i="154" l="1"/>
  <c r="B13" i="11" l="1"/>
</calcChain>
</file>

<file path=xl/sharedStrings.xml><?xml version="1.0" encoding="utf-8"?>
<sst xmlns="http://schemas.openxmlformats.org/spreadsheetml/2006/main" count="188" uniqueCount="73">
  <si>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</si>
  <si>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</si>
  <si>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</si>
  <si>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</si>
  <si>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</si>
  <si>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</si>
  <si>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</si>
  <si>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</si>
  <si>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</si>
  <si>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</si>
  <si>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</si>
  <si>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</si>
  <si>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</si>
  <si>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</si>
  <si>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</si>
  <si>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</si>
  <si>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</si>
  <si>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</si>
  <si>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</si>
  <si>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</si>
  <si>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</si>
  <si>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</si>
  <si>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</si>
  <si>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</si>
  <si>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</si>
  <si>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</si>
  <si>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</si>
  <si>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</si>
  <si>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</si>
  <si>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</si>
  <si>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</si>
  <si>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</si>
  <si>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</si>
  <si>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</si>
  <si>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</si>
  <si>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</si>
  <si>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</si>
  <si>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</si>
  <si>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</si>
  <si>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</si>
  <si>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</si>
  <si>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</si>
  <si>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</si>
  <si>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</si>
  <si>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</si>
  <si>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</si>
  <si>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</si>
  <si>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</si>
  <si>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</si>
  <si>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</si>
  <si>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</si>
  <si>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</si>
  <si>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</si>
  <si>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</si>
  <si>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</si>
  <si>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</si>
  <si>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https://techexpert.tips/powershell/powershell-creating-excel-file/
https://stackoverflow.com/questions/37665118/how-to-open-excel-workbook-from-powershell-for-automation</t>
  </si>
  <si>
    <t>https://stackoverflow.com/questions/2249619/how-to-format-a-datetime-in-powershell</t>
  </si>
  <si>
    <t>• Test de génération sur un environement clean (VM) et avec des valeurs differentes dans les configurations</t>
  </si>
  <si>
    <t>• Présenations des stages des eleves, attribution des projets</t>
  </si>
  <si>
    <t>• Création du git
• Création de l'arborésence initiale
• Récupération des données à exporter et création d'une structure pour input les données des élèves dans les scripts</t>
  </si>
  <si>
    <t>• Analyse du cahier des charges avec M.Gruaz</t>
  </si>
  <si>
    <t>• Planification initiale, création des user stories sur git</t>
  </si>
  <si>
    <t>• Recherche d'informations concernant les technologies PowerShell pour réaliser ce projet</t>
  </si>
  <si>
    <t>• Récupération de données de celules excel via PowerShell</t>
  </si>
  <si>
    <t>• Présentation de M.Sahli sur les TPI
• Demande à M.Ferrari et M.Sahli pour mon chef de TPI</t>
  </si>
  <si>
    <t>• Analyse des critères d'évaluation du TPI</t>
  </si>
  <si>
    <t>• Remplissage du JDT
• Mise en forme du fichier</t>
  </si>
  <si>
    <t>• Mise à jour de mon poste
• Appel avec mon maitre de stage concernant un script</t>
  </si>
  <si>
    <t>• Récupération des données d'inputs pour les auto evals (nom projet, prof...)
• Ajout des données dans les auto evals et création des fichiers pour chaque eleves
• Ajout des dates formatées dans les auto evals
• Optimisation de l'installation automatique des packages
• Création d'une VM pour les tests
• Protection des cellules du modèle</t>
  </si>
  <si>
    <t>• Rédaction du rapport</t>
  </si>
  <si>
    <t>http://ramblingcookiemonster.github.io/PowerShell-Configuration-Data/
https://learn.microsoft.com/en-us/powershell/scripting/developer/module/how-to-write-a-powershell-module-manifest?view=powershell-7.3 
https://social.technet.microsoft.com/Forums/office/en-US/e5d8594b-b14b-4a54-913c-61089b5d9ab4/release-or-delete-a-com-object-from-powershell?forum=winserverpowershell
https://learn.microsoft.com/en-us/powershell/module/microsoft.powershell.host/start-transcript?view=powershell-7.3
https://learn-powershell.net/2015/04/09/quick-hits-finding-exception-types-with-powershell/</t>
  </si>
  <si>
    <t>• Ajout de verification des données en input par l'utilisateur (Fichiers existants, données présentes...)
• Optimisation de la modification en ajoutant des constantes dans un fichier Config
• Ajout du logging des actions réalisées
• Verification que excel est installé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</si>
</sst>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/>
    </xf>
    <xf numFmtId="14" fontId="9" fillId="0" borderId="0" xfId="0" applyNumberFormat="1" applyFont="1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stackoverflow.com/questions/2249619/how-to-format-a-datetime-in-powershell" TargetMode="External"/><Relationship Id="rId9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16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9" t="s">
        <v>18</v>
      </c>
      <c r="C19" s="120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1" t="s">
        <v>20</v>
      </c>
      <c r="C3" s="16">
        <v>0</v>
      </c>
    </row>
    <row r="4" spans="1:4" ht="19.5" customHeight="1" x14ac:dyDescent="0.25">
      <c r="A4" s="19"/>
      <c r="B4" s="122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6"/>
  <sheetViews>
    <sheetView tabSelected="1" topLeftCell="A22" workbookViewId="0">
      <selection activeCell="B29" sqref="B2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1"/>
      <c r="B3" s="112"/>
      <c r="C3" s="113" t="s">
        <v>52</v>
      </c>
      <c r="D3" s="114"/>
    </row>
    <row r="4" spans="1:4" s="53" customFormat="1" x14ac:dyDescent="0.25">
      <c r="A4" s="1" t="s">
        <v>28</v>
      </c>
      <c r="B4" s="2">
        <v>18</v>
      </c>
      <c r="C4" s="10" t="s">
        <v>59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60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1"/>
      <c r="B7" s="112"/>
      <c r="C7" s="113" t="s">
        <v>53</v>
      </c>
      <c r="D7" s="114"/>
    </row>
    <row r="8" spans="1:4" s="53" customFormat="1" ht="27" x14ac:dyDescent="0.25">
      <c r="A8" s="1" t="s">
        <v>30</v>
      </c>
      <c r="B8" s="2">
        <v>6</v>
      </c>
      <c r="C8" s="10" t="s">
        <v>61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62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63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63.75" x14ac:dyDescent="0.25">
      <c r="A12" s="116" t="s">
        <v>33</v>
      </c>
      <c r="B12" s="116">
        <v>5</v>
      </c>
      <c r="C12" s="115" t="s">
        <v>64</v>
      </c>
      <c r="D12" s="90" t="s">
        <v>56</v>
      </c>
    </row>
    <row r="13" spans="1:4" s="53" customFormat="1" x14ac:dyDescent="0.25">
      <c r="A13" s="112"/>
      <c r="B13" s="112"/>
      <c r="C13" s="113" t="s">
        <v>54</v>
      </c>
      <c r="D13" s="114"/>
    </row>
    <row r="14" spans="1:4" s="53" customFormat="1" ht="27" x14ac:dyDescent="0.25">
      <c r="A14" s="116" t="s">
        <v>26</v>
      </c>
      <c r="B14" s="116">
        <v>6</v>
      </c>
      <c r="C14" s="115" t="s">
        <v>65</v>
      </c>
      <c r="D14" s="115"/>
    </row>
    <row r="15" spans="1:4" s="53" customFormat="1" ht="27" x14ac:dyDescent="0.25">
      <c r="A15" s="51" t="s">
        <v>30</v>
      </c>
      <c r="B15" s="51">
        <v>4</v>
      </c>
      <c r="C15" s="52" t="s">
        <v>66</v>
      </c>
      <c r="D15" s="117"/>
    </row>
    <row r="16" spans="1:4" s="53" customFormat="1" ht="27" x14ac:dyDescent="0.25">
      <c r="A16" s="51" t="s">
        <v>25</v>
      </c>
      <c r="B16" s="51">
        <v>2</v>
      </c>
      <c r="C16" s="52" t="s">
        <v>67</v>
      </c>
      <c r="D16" s="52"/>
    </row>
    <row r="17" spans="1:9" s="53" customFormat="1" x14ac:dyDescent="0.25">
      <c r="A17" s="112"/>
      <c r="B17" s="112"/>
      <c r="C17" s="113" t="s">
        <v>55</v>
      </c>
      <c r="D17" s="114"/>
    </row>
    <row r="18" spans="1:9" s="53" customFormat="1" ht="27" x14ac:dyDescent="0.25">
      <c r="A18" s="51" t="s">
        <v>26</v>
      </c>
      <c r="B18" s="51">
        <v>6</v>
      </c>
      <c r="C18" s="52" t="s">
        <v>68</v>
      </c>
      <c r="D18" s="52"/>
    </row>
    <row r="19" spans="1:9" s="53" customFormat="1" ht="81" x14ac:dyDescent="0.25">
      <c r="A19" s="51" t="s">
        <v>33</v>
      </c>
      <c r="B19" s="51">
        <v>16</v>
      </c>
      <c r="C19" s="52" t="s">
        <v>69</v>
      </c>
      <c r="D19" s="118" t="s">
        <v>57</v>
      </c>
    </row>
    <row r="20" spans="1:9" s="53" customFormat="1" x14ac:dyDescent="0.25">
      <c r="A20" s="51" t="s">
        <v>25</v>
      </c>
      <c r="B20" s="51">
        <v>1</v>
      </c>
      <c r="C20" s="52"/>
      <c r="D20" s="52"/>
    </row>
    <row r="21" spans="1:9" s="53" customFormat="1" ht="27" x14ac:dyDescent="0.25">
      <c r="A21" s="51" t="s">
        <v>39</v>
      </c>
      <c r="B21" s="51">
        <v>4</v>
      </c>
      <c r="C21" s="52" t="s">
        <v>70</v>
      </c>
      <c r="D21" s="52"/>
    </row>
    <row r="22" spans="1:9" s="53" customFormat="1" ht="14.25" thickBot="1" x14ac:dyDescent="0.3">
      <c r="A22" s="3"/>
      <c r="B22" s="3"/>
      <c r="C22" s="11"/>
      <c r="D22" s="11"/>
    </row>
    <row r="23" spans="1:9" ht="14.25" thickBot="1" x14ac:dyDescent="0.3">
      <c r="A23" s="48" t="s">
        <v>21</v>
      </c>
      <c r="B23" s="48">
        <f>SUM(B3:B22)</f>
        <v>90</v>
      </c>
      <c r="C23" s="89" t="s">
        <v>51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13</v>
      </c>
      <c r="B25" s="44">
        <v>2</v>
      </c>
      <c r="C25" s="45" t="s">
        <v>22</v>
      </c>
      <c r="D25" s="54">
        <f>$D$1+7</f>
        <v>44956</v>
      </c>
    </row>
    <row r="26" spans="1:9" ht="27.75" thickBot="1" x14ac:dyDescent="0.3">
      <c r="A26" s="46" t="s">
        <v>2</v>
      </c>
      <c r="B26" s="47" t="s">
        <v>14</v>
      </c>
      <c r="C26" s="46" t="s">
        <v>6</v>
      </c>
      <c r="D26" s="46" t="s">
        <v>12</v>
      </c>
    </row>
    <row r="27" spans="1:9" x14ac:dyDescent="0.25">
      <c r="A27" s="111"/>
      <c r="B27" s="112"/>
      <c r="C27" s="113" t="s">
        <v>52</v>
      </c>
      <c r="D27" s="114"/>
    </row>
    <row r="28" spans="1:9" ht="270" x14ac:dyDescent="0.25">
      <c r="A28" s="1" t="s">
        <v>33</v>
      </c>
      <c r="B28" s="2">
        <v>20</v>
      </c>
      <c r="C28" s="10" t="s">
        <v>72</v>
      </c>
      <c r="D28" s="10" t="s">
        <v>71</v>
      </c>
    </row>
    <row r="29" spans="1:9" x14ac:dyDescent="0.25">
      <c r="A29" s="1" t="s">
        <v>25</v>
      </c>
      <c r="B29" s="2">
        <v>2</v>
      </c>
      <c r="C29" s="10"/>
      <c r="D29" s="10"/>
      <c r="E29" s="20"/>
      <c r="F29" s="20"/>
      <c r="G29" s="20"/>
      <c r="H29" s="20"/>
      <c r="I29" s="20"/>
    </row>
    <row r="30" spans="1:9" ht="42" customHeight="1" x14ac:dyDescent="0.25">
      <c r="A30" s="1" t="s">
        <v>34</v>
      </c>
      <c r="B30" s="2">
        <v>2</v>
      </c>
      <c r="C30" s="10" t="s">
        <v>58</v>
      </c>
      <c r="D30" s="10"/>
      <c r="E30" s="20"/>
      <c r="F30" s="32"/>
      <c r="G30" s="33"/>
      <c r="H30" s="34"/>
      <c r="I30" s="20"/>
    </row>
    <row r="31" spans="1:9" ht="15" x14ac:dyDescent="0.25">
      <c r="A31" s="1"/>
      <c r="B31" s="2"/>
      <c r="C31" s="10"/>
      <c r="D31" s="10"/>
      <c r="E31" s="20"/>
      <c r="F31" s="35"/>
      <c r="G31" s="31"/>
      <c r="H31" s="31"/>
      <c r="I31" s="20"/>
    </row>
    <row r="32" spans="1:9" x14ac:dyDescent="0.25">
      <c r="A32" s="1"/>
      <c r="B32" s="2"/>
      <c r="C32" s="90"/>
      <c r="D32" s="10"/>
      <c r="E32" s="20"/>
      <c r="F32" s="37"/>
      <c r="G32" s="38"/>
      <c r="H32" s="38"/>
      <c r="I32" s="20"/>
    </row>
    <row r="33" spans="1:9" x14ac:dyDescent="0.25">
      <c r="A33" s="1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1"/>
      <c r="B34" s="2"/>
      <c r="C34" s="10"/>
      <c r="D34" s="10"/>
      <c r="E34" s="20"/>
      <c r="F34" s="37"/>
      <c r="G34" s="38"/>
      <c r="H34" s="38"/>
      <c r="I34" s="20"/>
    </row>
    <row r="35" spans="1:9" x14ac:dyDescent="0.25">
      <c r="A35" s="1"/>
      <c r="B35" s="2"/>
      <c r="C35" s="10"/>
      <c r="D35" s="10"/>
      <c r="E35" s="20"/>
      <c r="F35" s="37"/>
      <c r="G35" s="38"/>
      <c r="H35" s="38"/>
      <c r="I35" s="20"/>
    </row>
    <row r="36" spans="1:9" x14ac:dyDescent="0.25">
      <c r="A36" s="2"/>
      <c r="B36" s="2"/>
      <c r="C36" s="10"/>
      <c r="D36" s="10"/>
      <c r="E36" s="20"/>
      <c r="F36" s="37"/>
      <c r="G36" s="38"/>
      <c r="H36" s="38"/>
      <c r="I36" s="20"/>
    </row>
    <row r="37" spans="1:9" x14ac:dyDescent="0.25">
      <c r="A37" s="2"/>
      <c r="B37" s="2"/>
      <c r="C37" s="10"/>
      <c r="D37" s="10"/>
      <c r="E37" s="20"/>
      <c r="F37" s="37"/>
      <c r="G37" s="38"/>
      <c r="H37" s="38"/>
      <c r="I37" s="20"/>
    </row>
    <row r="38" spans="1:9" x14ac:dyDescent="0.25">
      <c r="A38" s="2"/>
      <c r="B38" s="2"/>
      <c r="C38" s="10"/>
      <c r="D38" s="10"/>
      <c r="E38" s="20"/>
      <c r="F38" s="37"/>
      <c r="G38" s="38"/>
      <c r="H38" s="38"/>
      <c r="I38" s="20"/>
    </row>
    <row r="39" spans="1:9" x14ac:dyDescent="0.25">
      <c r="A39" s="51"/>
      <c r="B39" s="51"/>
      <c r="C39" s="52"/>
      <c r="D39" s="52"/>
      <c r="E39" s="20"/>
      <c r="F39" s="37"/>
      <c r="G39" s="38"/>
      <c r="H39" s="38"/>
      <c r="I39" s="20"/>
    </row>
    <row r="40" spans="1:9" x14ac:dyDescent="0.25">
      <c r="A40" s="51"/>
      <c r="B40" s="51"/>
      <c r="C40" s="52"/>
      <c r="D40" s="52"/>
      <c r="E40" s="20"/>
      <c r="F40" s="39"/>
      <c r="G40" s="40"/>
      <c r="H40" s="40"/>
      <c r="I40" s="20"/>
    </row>
    <row r="41" spans="1:9" ht="15" thickBot="1" x14ac:dyDescent="0.35">
      <c r="A41" s="3"/>
      <c r="B41" s="3"/>
      <c r="C41" s="11"/>
      <c r="D41" s="11"/>
      <c r="E41" s="20"/>
      <c r="F41" s="41"/>
      <c r="G41" s="41"/>
      <c r="H41" s="41"/>
      <c r="I41" s="20"/>
    </row>
    <row r="42" spans="1:9" ht="14.25" thickBot="1" x14ac:dyDescent="0.3">
      <c r="A42" s="48" t="s">
        <v>21</v>
      </c>
      <c r="B42" s="48">
        <f>SUM(B27:B41)</f>
        <v>24</v>
      </c>
      <c r="C42" s="89" t="s">
        <v>51</v>
      </c>
      <c r="D42" s="49"/>
      <c r="E42" s="20"/>
      <c r="F42" s="20"/>
      <c r="G42" s="20"/>
      <c r="H42" s="20"/>
      <c r="I42" s="20"/>
    </row>
    <row r="43" spans="1:9" ht="15" thickBot="1" x14ac:dyDescent="0.35">
      <c r="A43" s="50"/>
      <c r="B43" s="50"/>
      <c r="C43" s="50"/>
      <c r="D43" s="50"/>
      <c r="E43" s="20"/>
      <c r="F43" s="20"/>
      <c r="G43" s="20"/>
      <c r="H43" s="20"/>
      <c r="I43" s="20"/>
    </row>
    <row r="44" spans="1:9" ht="18.75" thickBot="1" x14ac:dyDescent="0.3">
      <c r="A44" s="43" t="s">
        <v>13</v>
      </c>
      <c r="B44" s="44">
        <v>3</v>
      </c>
      <c r="C44" s="45" t="s">
        <v>22</v>
      </c>
      <c r="D44" s="54">
        <f>$D$25+7</f>
        <v>44963</v>
      </c>
      <c r="E44" s="20"/>
      <c r="F44" s="20"/>
      <c r="G44" s="20"/>
      <c r="H44" s="20"/>
      <c r="I44" s="20"/>
    </row>
    <row r="45" spans="1:9" ht="27.75" thickBot="1" x14ac:dyDescent="0.3">
      <c r="A45" s="46" t="s">
        <v>2</v>
      </c>
      <c r="B45" s="47" t="s">
        <v>14</v>
      </c>
      <c r="C45" s="46" t="s">
        <v>6</v>
      </c>
      <c r="D45" s="46" t="s">
        <v>12</v>
      </c>
    </row>
    <row r="46" spans="1:9" x14ac:dyDescent="0.25">
      <c r="A46" s="5"/>
      <c r="B46" s="4"/>
      <c r="C46" s="9"/>
      <c r="D46" s="9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2"/>
      <c r="B55" s="2"/>
      <c r="C55" s="10"/>
      <c r="D55" s="10"/>
    </row>
    <row r="56" spans="1:4" x14ac:dyDescent="0.25">
      <c r="A56" s="2"/>
      <c r="B56" s="2"/>
      <c r="C56" s="10"/>
      <c r="D56" s="10"/>
    </row>
    <row r="57" spans="1:4" x14ac:dyDescent="0.25">
      <c r="A57" s="2"/>
      <c r="B57" s="2"/>
      <c r="C57" s="10"/>
      <c r="D57" s="10"/>
    </row>
    <row r="58" spans="1:4" x14ac:dyDescent="0.25">
      <c r="A58" s="51"/>
      <c r="B58" s="51"/>
      <c r="C58" s="52"/>
      <c r="D58" s="52"/>
    </row>
    <row r="59" spans="1:4" x14ac:dyDescent="0.25">
      <c r="A59" s="51"/>
      <c r="B59" s="51"/>
      <c r="C59" s="52"/>
      <c r="D59" s="52"/>
    </row>
    <row r="60" spans="1:4" ht="14.25" thickBot="1" x14ac:dyDescent="0.3">
      <c r="A60" s="3"/>
      <c r="B60" s="3"/>
      <c r="C60" s="11"/>
      <c r="D60" s="11"/>
    </row>
    <row r="61" spans="1:4" ht="14.25" thickBot="1" x14ac:dyDescent="0.3">
      <c r="A61" s="48" t="s">
        <v>21</v>
      </c>
      <c r="B61" s="48">
        <f>SUM(B46:B60)</f>
        <v>0</v>
      </c>
      <c r="C61" s="89" t="s">
        <v>51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13</v>
      </c>
      <c r="B63" s="44">
        <v>4</v>
      </c>
      <c r="C63" s="45" t="s">
        <v>22</v>
      </c>
      <c r="D63" s="54">
        <f>$D$44+7</f>
        <v>44970</v>
      </c>
    </row>
    <row r="64" spans="1:4" ht="27.75" thickBot="1" x14ac:dyDescent="0.3">
      <c r="A64" s="46" t="s">
        <v>2</v>
      </c>
      <c r="B64" s="47" t="s">
        <v>14</v>
      </c>
      <c r="C64" s="46" t="s">
        <v>6</v>
      </c>
      <c r="D64" s="46" t="s">
        <v>12</v>
      </c>
    </row>
    <row r="65" spans="1:4" x14ac:dyDescent="0.25">
      <c r="A65" s="5"/>
      <c r="B65" s="4"/>
      <c r="C65" s="9"/>
      <c r="D65" s="9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2"/>
      <c r="B75" s="2"/>
      <c r="C75" s="10"/>
      <c r="D75" s="10"/>
    </row>
    <row r="76" spans="1:4" x14ac:dyDescent="0.25">
      <c r="A76" s="2"/>
      <c r="B76" s="2"/>
      <c r="C76" s="10"/>
      <c r="D76" s="10"/>
    </row>
    <row r="77" spans="1:4" x14ac:dyDescent="0.25">
      <c r="A77" s="51"/>
      <c r="B77" s="51"/>
      <c r="C77" s="52"/>
      <c r="D77" s="52"/>
    </row>
    <row r="78" spans="1:4" x14ac:dyDescent="0.25">
      <c r="A78" s="51"/>
      <c r="B78" s="51"/>
      <c r="C78" s="52"/>
      <c r="D78" s="52"/>
    </row>
    <row r="79" spans="1:4" ht="14.25" thickBot="1" x14ac:dyDescent="0.3">
      <c r="A79" s="3"/>
      <c r="B79" s="3"/>
      <c r="C79" s="11"/>
      <c r="D79" s="11"/>
    </row>
    <row r="80" spans="1:4" ht="14.25" thickBot="1" x14ac:dyDescent="0.3">
      <c r="A80" s="48" t="s">
        <v>21</v>
      </c>
      <c r="B80" s="48">
        <f>SUM(B65:B79)</f>
        <v>0</v>
      </c>
      <c r="C80" s="89" t="s">
        <v>51</v>
      </c>
      <c r="D80" s="49"/>
    </row>
    <row r="81" spans="1:4" ht="15" thickBot="1" x14ac:dyDescent="0.35">
      <c r="A81" s="50"/>
      <c r="B81" s="50"/>
      <c r="C81" s="50"/>
      <c r="D81" s="50"/>
    </row>
    <row r="82" spans="1:4" ht="18.75" thickBot="1" x14ac:dyDescent="0.3">
      <c r="A82" s="43" t="s">
        <v>13</v>
      </c>
      <c r="B82" s="44">
        <v>5</v>
      </c>
      <c r="C82" s="45" t="s">
        <v>22</v>
      </c>
      <c r="D82" s="54">
        <f>$D$63+7</f>
        <v>44977</v>
      </c>
    </row>
    <row r="83" spans="1:4" ht="27.75" thickBot="1" x14ac:dyDescent="0.3">
      <c r="A83" s="46" t="s">
        <v>2</v>
      </c>
      <c r="B83" s="47" t="s">
        <v>14</v>
      </c>
      <c r="C83" s="46" t="s">
        <v>6</v>
      </c>
      <c r="D83" s="46" t="s">
        <v>12</v>
      </c>
    </row>
    <row r="84" spans="1:4" x14ac:dyDescent="0.25">
      <c r="A84" s="5"/>
      <c r="B84" s="4"/>
      <c r="C84" s="9"/>
      <c r="D84" s="9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x14ac:dyDescent="0.25">
      <c r="A96" s="51"/>
      <c r="B96" s="51"/>
      <c r="C96" s="52"/>
      <c r="D96" s="52"/>
    </row>
    <row r="97" spans="1:4" x14ac:dyDescent="0.25">
      <c r="A97" s="51"/>
      <c r="B97" s="51"/>
      <c r="C97" s="52"/>
      <c r="D97" s="52"/>
    </row>
    <row r="98" spans="1:4" ht="14.25" thickBot="1" x14ac:dyDescent="0.3">
      <c r="A98" s="3"/>
      <c r="B98" s="3"/>
      <c r="C98" s="11"/>
      <c r="D98" s="11"/>
    </row>
    <row r="99" spans="1:4" ht="14.25" thickBot="1" x14ac:dyDescent="0.3">
      <c r="A99" s="48" t="s">
        <v>21</v>
      </c>
      <c r="B99" s="48">
        <f>SUM(B84:B98)</f>
        <v>0</v>
      </c>
      <c r="C99" s="89" t="s">
        <v>51</v>
      </c>
      <c r="D99" s="49"/>
    </row>
    <row r="100" spans="1:4" ht="15" thickBot="1" x14ac:dyDescent="0.35">
      <c r="A100" s="50"/>
      <c r="B100" s="50"/>
      <c r="C100" s="50"/>
      <c r="D100" s="50"/>
    </row>
    <row r="101" spans="1:4" ht="18.75" thickBot="1" x14ac:dyDescent="0.3">
      <c r="A101" s="43" t="s">
        <v>13</v>
      </c>
      <c r="B101" s="44">
        <v>6</v>
      </c>
      <c r="C101" s="45" t="s">
        <v>22</v>
      </c>
      <c r="D101" s="54">
        <f>$D$82+7</f>
        <v>44984</v>
      </c>
    </row>
    <row r="102" spans="1:4" ht="27.75" thickBot="1" x14ac:dyDescent="0.3">
      <c r="A102" s="46" t="s">
        <v>2</v>
      </c>
      <c r="B102" s="47" t="s">
        <v>14</v>
      </c>
      <c r="C102" s="46" t="s">
        <v>6</v>
      </c>
      <c r="D102" s="46" t="s">
        <v>12</v>
      </c>
    </row>
    <row r="103" spans="1:4" x14ac:dyDescent="0.25">
      <c r="A103" s="5"/>
      <c r="B103" s="4"/>
      <c r="C103" s="9"/>
      <c r="D103" s="9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2"/>
      <c r="B112" s="2"/>
      <c r="C112" s="10"/>
      <c r="D112" s="10"/>
    </row>
    <row r="113" spans="1:4" x14ac:dyDescent="0.25">
      <c r="A113" s="2"/>
      <c r="B113" s="2"/>
      <c r="C113" s="10"/>
      <c r="D113" s="10"/>
    </row>
    <row r="114" spans="1:4" x14ac:dyDescent="0.25">
      <c r="A114" s="2"/>
      <c r="B114" s="2"/>
      <c r="C114" s="10"/>
      <c r="D114" s="10"/>
    </row>
    <row r="115" spans="1:4" x14ac:dyDescent="0.25">
      <c r="A115" s="51"/>
      <c r="B115" s="51"/>
      <c r="C115" s="52"/>
      <c r="D115" s="52"/>
    </row>
    <row r="116" spans="1:4" x14ac:dyDescent="0.25">
      <c r="A116" s="51"/>
      <c r="B116" s="51"/>
      <c r="C116" s="52"/>
      <c r="D116" s="52"/>
    </row>
    <row r="117" spans="1:4" ht="14.25" thickBot="1" x14ac:dyDescent="0.3">
      <c r="A117" s="3"/>
      <c r="B117" s="3"/>
      <c r="C117" s="11"/>
      <c r="D117" s="11"/>
    </row>
    <row r="118" spans="1:4" ht="14.25" thickBot="1" x14ac:dyDescent="0.3">
      <c r="A118" s="48" t="s">
        <v>21</v>
      </c>
      <c r="B118" s="48">
        <f>SUM(B103:B117)</f>
        <v>0</v>
      </c>
      <c r="C118" s="89" t="s">
        <v>51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13</v>
      </c>
      <c r="B120" s="44">
        <v>7</v>
      </c>
      <c r="C120" s="45" t="s">
        <v>22</v>
      </c>
      <c r="D120" s="54">
        <f>$D$101+7</f>
        <v>44991</v>
      </c>
    </row>
    <row r="121" spans="1:4" ht="27.75" thickBot="1" x14ac:dyDescent="0.3">
      <c r="A121" s="46" t="s">
        <v>2</v>
      </c>
      <c r="B121" s="47" t="s">
        <v>14</v>
      </c>
      <c r="C121" s="46" t="s">
        <v>6</v>
      </c>
      <c r="D121" s="46" t="s">
        <v>12</v>
      </c>
    </row>
    <row r="122" spans="1:4" x14ac:dyDescent="0.25">
      <c r="A122" s="5"/>
      <c r="B122" s="4"/>
      <c r="C122" s="9"/>
      <c r="D122" s="9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2"/>
      <c r="B131" s="2"/>
      <c r="C131" s="10"/>
      <c r="D131" s="10"/>
    </row>
    <row r="132" spans="1:4" x14ac:dyDescent="0.25">
      <c r="A132" s="2"/>
      <c r="B132" s="2"/>
      <c r="C132" s="10"/>
      <c r="D132" s="10"/>
    </row>
    <row r="133" spans="1:4" x14ac:dyDescent="0.25">
      <c r="A133" s="2"/>
      <c r="B133" s="2"/>
      <c r="C133" s="10"/>
      <c r="D133" s="10"/>
    </row>
    <row r="134" spans="1:4" x14ac:dyDescent="0.25">
      <c r="A134" s="51"/>
      <c r="B134" s="51"/>
      <c r="C134" s="52"/>
      <c r="D134" s="52"/>
    </row>
    <row r="135" spans="1:4" x14ac:dyDescent="0.25">
      <c r="A135" s="51"/>
      <c r="B135" s="51"/>
      <c r="C135" s="52"/>
      <c r="D135" s="52"/>
    </row>
    <row r="136" spans="1:4" ht="14.25" thickBot="1" x14ac:dyDescent="0.3">
      <c r="A136" s="3"/>
      <c r="B136" s="3"/>
      <c r="C136" s="11"/>
      <c r="D136" s="11"/>
    </row>
    <row r="137" spans="1:4" ht="14.25" thickBot="1" x14ac:dyDescent="0.3">
      <c r="A137" s="48" t="s">
        <v>21</v>
      </c>
      <c r="B137" s="48">
        <f>SUM(B122:B136)</f>
        <v>0</v>
      </c>
      <c r="C137" s="89" t="s">
        <v>51</v>
      </c>
      <c r="D137" s="49"/>
    </row>
    <row r="138" spans="1:4" ht="15" thickBot="1" x14ac:dyDescent="0.35">
      <c r="A138" s="50"/>
      <c r="B138" s="50"/>
      <c r="C138" s="50"/>
      <c r="D138" s="50"/>
    </row>
    <row r="139" spans="1:4" ht="18.75" thickBot="1" x14ac:dyDescent="0.3">
      <c r="A139" s="43" t="s">
        <v>13</v>
      </c>
      <c r="B139" s="44">
        <v>8</v>
      </c>
      <c r="C139" s="45" t="s">
        <v>22</v>
      </c>
      <c r="D139" s="54">
        <f>$D$120+7</f>
        <v>44998</v>
      </c>
    </row>
    <row r="140" spans="1:4" ht="27.75" thickBot="1" x14ac:dyDescent="0.3">
      <c r="A140" s="46" t="s">
        <v>2</v>
      </c>
      <c r="B140" s="47" t="s">
        <v>14</v>
      </c>
      <c r="C140" s="46" t="s">
        <v>6</v>
      </c>
      <c r="D140" s="46" t="s">
        <v>12</v>
      </c>
    </row>
    <row r="141" spans="1:4" x14ac:dyDescent="0.25">
      <c r="A141" s="5"/>
      <c r="B141" s="4"/>
      <c r="C141" s="9"/>
      <c r="D141" s="9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x14ac:dyDescent="0.25">
      <c r="A152" s="2"/>
      <c r="B152" s="2"/>
      <c r="C152" s="10"/>
      <c r="D152" s="10"/>
    </row>
    <row r="153" spans="1:4" x14ac:dyDescent="0.25">
      <c r="A153" s="51"/>
      <c r="B153" s="51"/>
      <c r="C153" s="52"/>
      <c r="D153" s="52"/>
    </row>
    <row r="154" spans="1:4" x14ac:dyDescent="0.25">
      <c r="A154" s="51"/>
      <c r="B154" s="51"/>
      <c r="C154" s="52"/>
      <c r="D154" s="52"/>
    </row>
    <row r="155" spans="1:4" ht="14.25" thickBot="1" x14ac:dyDescent="0.3">
      <c r="A155" s="3"/>
      <c r="B155" s="3"/>
      <c r="C155" s="11"/>
      <c r="D155" s="11"/>
    </row>
    <row r="156" spans="1:4" ht="14.25" thickBot="1" x14ac:dyDescent="0.3">
      <c r="A156" s="48" t="s">
        <v>21</v>
      </c>
      <c r="B156" s="48">
        <f>SUM(B141:B155)</f>
        <v>0</v>
      </c>
      <c r="C156" s="89" t="s">
        <v>51</v>
      </c>
      <c r="D156" s="49"/>
    </row>
    <row r="157" spans="1:4" ht="15" thickBot="1" x14ac:dyDescent="0.35">
      <c r="A157" s="50"/>
      <c r="B157" s="50"/>
      <c r="C157" s="50"/>
      <c r="D157" s="50"/>
    </row>
    <row r="158" spans="1:4" ht="18.75" thickBot="1" x14ac:dyDescent="0.3">
      <c r="A158" s="43" t="s">
        <v>13</v>
      </c>
      <c r="B158" s="44">
        <v>9</v>
      </c>
      <c r="C158" s="45" t="s">
        <v>22</v>
      </c>
      <c r="D158" s="54">
        <f>$D$139+7</f>
        <v>45005</v>
      </c>
    </row>
    <row r="159" spans="1:4" ht="27.75" thickBot="1" x14ac:dyDescent="0.3">
      <c r="A159" s="46" t="s">
        <v>2</v>
      </c>
      <c r="B159" s="47" t="s">
        <v>14</v>
      </c>
      <c r="C159" s="46" t="s">
        <v>6</v>
      </c>
      <c r="D159" s="46" t="s">
        <v>12</v>
      </c>
    </row>
    <row r="160" spans="1:4" x14ac:dyDescent="0.25">
      <c r="A160" s="5"/>
      <c r="B160" s="4"/>
      <c r="C160" s="9"/>
      <c r="D160" s="9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2"/>
      <c r="B169" s="2"/>
      <c r="C169" s="10"/>
      <c r="D169" s="10"/>
    </row>
    <row r="170" spans="1:4" x14ac:dyDescent="0.25">
      <c r="A170" s="2"/>
      <c r="B170" s="2"/>
      <c r="C170" s="10"/>
      <c r="D170" s="10"/>
    </row>
    <row r="171" spans="1:4" x14ac:dyDescent="0.25">
      <c r="A171" s="2"/>
      <c r="B171" s="2"/>
      <c r="C171" s="10"/>
      <c r="D171" s="10"/>
    </row>
    <row r="172" spans="1:4" x14ac:dyDescent="0.25">
      <c r="A172" s="51"/>
      <c r="B172" s="51"/>
      <c r="C172" s="52"/>
      <c r="D172" s="52"/>
    </row>
    <row r="173" spans="1:4" x14ac:dyDescent="0.25">
      <c r="A173" s="51"/>
      <c r="B173" s="51"/>
      <c r="C173" s="52"/>
      <c r="D173" s="52"/>
    </row>
    <row r="174" spans="1:4" ht="14.25" thickBot="1" x14ac:dyDescent="0.3">
      <c r="A174" s="3"/>
      <c r="B174" s="3"/>
      <c r="C174" s="11"/>
      <c r="D174" s="11"/>
    </row>
    <row r="175" spans="1:4" ht="14.25" thickBot="1" x14ac:dyDescent="0.3">
      <c r="A175" s="48" t="s">
        <v>21</v>
      </c>
      <c r="B175" s="48">
        <f>SUM(B160:B174)</f>
        <v>0</v>
      </c>
      <c r="C175" s="89" t="s">
        <v>51</v>
      </c>
      <c r="D175" s="49"/>
    </row>
    <row r="176" spans="1:4" ht="15" thickBot="1" x14ac:dyDescent="0.35">
      <c r="A176" s="50"/>
      <c r="B176" s="50"/>
      <c r="C176" s="50"/>
      <c r="D176" s="50"/>
    </row>
    <row r="177" spans="1:4" ht="18.75" thickBot="1" x14ac:dyDescent="0.3">
      <c r="A177" s="43" t="s">
        <v>13</v>
      </c>
      <c r="B177" s="44">
        <v>10</v>
      </c>
      <c r="C177" s="45" t="s">
        <v>22</v>
      </c>
      <c r="D177" s="54">
        <f>$D$158+7</f>
        <v>45012</v>
      </c>
    </row>
    <row r="178" spans="1:4" ht="27.75" thickBot="1" x14ac:dyDescent="0.3">
      <c r="A178" s="46" t="s">
        <v>2</v>
      </c>
      <c r="B178" s="47" t="s">
        <v>14</v>
      </c>
      <c r="C178" s="46" t="s">
        <v>6</v>
      </c>
      <c r="D178" s="46" t="s">
        <v>12</v>
      </c>
    </row>
    <row r="179" spans="1:4" x14ac:dyDescent="0.25">
      <c r="A179" s="5"/>
      <c r="B179" s="4"/>
      <c r="C179" s="9"/>
      <c r="D179" s="9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2"/>
      <c r="B188" s="2"/>
      <c r="C188" s="10"/>
      <c r="D188" s="10"/>
    </row>
    <row r="189" spans="1:4" x14ac:dyDescent="0.25">
      <c r="A189" s="2"/>
      <c r="B189" s="2"/>
      <c r="C189" s="10"/>
      <c r="D189" s="10"/>
    </row>
    <row r="190" spans="1:4" x14ac:dyDescent="0.25">
      <c r="A190" s="2"/>
      <c r="B190" s="2"/>
      <c r="C190" s="10"/>
      <c r="D190" s="10"/>
    </row>
    <row r="191" spans="1:4" x14ac:dyDescent="0.25">
      <c r="A191" s="51"/>
      <c r="B191" s="51"/>
      <c r="C191" s="52"/>
      <c r="D191" s="52"/>
    </row>
    <row r="192" spans="1:4" x14ac:dyDescent="0.25">
      <c r="A192" s="51"/>
      <c r="B192" s="51"/>
      <c r="C192" s="52"/>
      <c r="D192" s="52"/>
    </row>
    <row r="193" spans="1:4" ht="14.25" thickBot="1" x14ac:dyDescent="0.3">
      <c r="A193" s="3"/>
      <c r="B193" s="3"/>
      <c r="C193" s="11"/>
      <c r="D193" s="11"/>
    </row>
    <row r="194" spans="1:4" ht="14.25" thickBot="1" x14ac:dyDescent="0.3">
      <c r="A194" s="48" t="s">
        <v>21</v>
      </c>
      <c r="B194" s="48">
        <f>SUM(B179:B193)</f>
        <v>0</v>
      </c>
      <c r="C194" s="89" t="s">
        <v>51</v>
      </c>
      <c r="D194" s="49"/>
    </row>
    <row r="195" spans="1:4" ht="14.25" x14ac:dyDescent="0.3">
      <c r="A195" s="50"/>
      <c r="B195" s="50"/>
      <c r="C195" s="50"/>
      <c r="D195" s="50"/>
    </row>
    <row r="196" spans="1:4" x14ac:dyDescent="0.25">
      <c r="A196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B46:B60 B65:B79 B84:B98 B103:B117 B122:B136 B141:B155 B160:B174 B179:B193 B27:B41 B3:B22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2 B61 B80 B99 B118 B137 B156 B175 B194" xr:uid="{AC09EF01-5E22-4EA1-BB83-D8349F85B499}">
      <formula1>0</formula1>
      <formula2>NbPerWeek * NbQuartPer</formula2>
    </dataValidation>
    <dataValidation type="list" allowBlank="1" showInputMessage="1" showErrorMessage="1" sqref="A46:A60 A65:A79 A84:A98 A103:A117 A122:A136 A141:A155 A160:A174 A179:A193 A27:A41 A3:A22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display="https://techexpert.tips/powershell/powershell-creating-excel-file/" xr:uid="{A285C69D-09E8-4CC1-99F3-55B38B098614}"/>
    <hyperlink ref="D19" r:id="rId4" xr:uid="{9F06E4B1-265B-4800-8D1F-2C1E75BC7E6D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64513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8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24">
        <v>44949</v>
      </c>
      <c r="D2" s="124"/>
      <c r="E2" s="124"/>
      <c r="F2" s="124"/>
      <c r="G2" s="124">
        <v>44956</v>
      </c>
      <c r="H2" s="124"/>
      <c r="I2" s="124"/>
      <c r="J2" s="124"/>
      <c r="K2" s="124">
        <v>44963</v>
      </c>
      <c r="L2" s="124"/>
      <c r="M2" s="124"/>
      <c r="N2" s="124"/>
      <c r="O2" s="124">
        <v>44970</v>
      </c>
      <c r="P2" s="124"/>
      <c r="Q2" s="124"/>
      <c r="R2" s="124"/>
      <c r="S2" s="124">
        <v>44977</v>
      </c>
      <c r="T2" s="124"/>
      <c r="U2" s="124"/>
      <c r="V2" s="124"/>
      <c r="W2" s="124">
        <v>44984</v>
      </c>
      <c r="X2" s="124"/>
      <c r="Y2" s="124"/>
      <c r="Z2" s="124"/>
      <c r="AA2" s="124">
        <v>44991</v>
      </c>
      <c r="AB2" s="124"/>
      <c r="AC2" s="124"/>
      <c r="AD2" s="124"/>
      <c r="AE2" s="124">
        <v>44998</v>
      </c>
      <c r="AF2" s="124"/>
      <c r="AG2" s="124"/>
      <c r="AH2" s="124"/>
      <c r="AI2" s="124">
        <v>45005</v>
      </c>
      <c r="AJ2" s="124"/>
      <c r="AK2" s="124"/>
      <c r="AL2" s="124"/>
    </row>
    <row r="3" spans="2:38" ht="14.25" thickBot="1" x14ac:dyDescent="0.3">
      <c r="C3" s="123" t="s">
        <v>41</v>
      </c>
      <c r="D3" s="123"/>
      <c r="E3" s="123"/>
      <c r="F3" s="123"/>
      <c r="G3" s="123" t="s">
        <v>42</v>
      </c>
      <c r="H3" s="123"/>
      <c r="I3" s="123"/>
      <c r="J3" s="123"/>
      <c r="K3" s="123" t="s">
        <v>43</v>
      </c>
      <c r="L3" s="123"/>
      <c r="M3" s="123"/>
      <c r="N3" s="123"/>
      <c r="O3" s="123" t="s">
        <v>44</v>
      </c>
      <c r="P3" s="123"/>
      <c r="Q3" s="123"/>
      <c r="R3" s="123"/>
      <c r="S3" s="123" t="s">
        <v>45</v>
      </c>
      <c r="T3" s="123"/>
      <c r="U3" s="123"/>
      <c r="V3" s="123"/>
      <c r="W3" s="123" t="s">
        <v>46</v>
      </c>
      <c r="X3" s="123"/>
      <c r="Y3" s="123"/>
      <c r="Z3" s="123"/>
      <c r="AA3" s="123" t="s">
        <v>47</v>
      </c>
      <c r="AB3" s="123"/>
      <c r="AC3" s="123"/>
      <c r="AD3" s="123"/>
      <c r="AE3" s="123" t="s">
        <v>48</v>
      </c>
      <c r="AF3" s="123"/>
      <c r="AG3" s="123"/>
      <c r="AH3" s="123"/>
      <c r="AI3" s="123" t="s">
        <v>49</v>
      </c>
      <c r="AJ3" s="123"/>
      <c r="AK3" s="123"/>
      <c r="AL3" s="123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W2:Z2"/>
    <mergeCell ref="AE2:AH2"/>
    <mergeCell ref="AI2:AL2"/>
    <mergeCell ref="W3:Z3"/>
    <mergeCell ref="AA3:AD3"/>
    <mergeCell ref="AE3:AH3"/>
    <mergeCell ref="AI3:AL3"/>
    <mergeCell ref="AA2:AD2"/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2023-01-30T14:08:09Z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