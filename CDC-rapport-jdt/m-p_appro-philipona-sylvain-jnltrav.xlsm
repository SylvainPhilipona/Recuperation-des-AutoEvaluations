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1E3A6E06-6185-4DBF-ADC7-F5DC8D998AA9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JNLTRAV!$A$1:$D$21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2" i="171" s="1"/>
  <c r="D41" i="171" s="1"/>
  <c r="D60" i="171" s="1"/>
  <c r="D79" i="171" s="1"/>
  <c r="D98" i="171" s="1"/>
  <c r="D117" i="171" s="1"/>
  <c r="D136" i="171" s="1"/>
  <c r="D155" i="171" s="1"/>
  <c r="D174" i="171" s="1"/>
  <c r="B191" i="171"/>
  <c r="B172" i="171"/>
  <c r="B153" i="171"/>
  <c r="B134" i="171"/>
  <c r="B115" i="171"/>
  <c r="B96" i="171"/>
  <c r="B77" i="171"/>
  <c r="B58" i="171"/>
  <c r="B39" i="171"/>
  <c r="B20" i="171"/>
  <c r="B18" i="154" l="1"/>
  <c r="B13" i="11" l="1"/>
</calcChain>
</file>

<file path=xl/sharedStrings.xml><?xml version="1.0" encoding="utf-8"?>
<sst xmlns="http://schemas.openxmlformats.org/spreadsheetml/2006/main" count="174" uniqueCount="66">
  <si>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</si>
  <si>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</si>
  <si>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</si>
  <si>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</si>
  <si>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</si>
  <si>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</si>
  <si>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</si>
  <si>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</si>
  <si>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</si>
  <si>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</si>
  <si>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</si>
  <si>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</si>
  <si>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</si>
  <si>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</si>
  <si>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</si>
  <si>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</si>
  <si>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</si>
  <si>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</si>
  <si>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</si>
  <si>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</si>
  <si>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</si>
  <si>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</si>
  <si>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</si>
  <si>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</si>
  <si>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</si>
  <si>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</si>
  <si>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</si>
  <si>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</si>
  <si>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</si>
  <si>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</si>
  <si>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</si>
  <si>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</si>
  <si>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</si>
  <si>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</si>
  <si>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</si>
  <si>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</si>
  <si>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</si>
  <si>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</si>
  <si>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</si>
  <si>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</si>
  <si>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</si>
  <si>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</si>
  <si>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</si>
  <si>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</si>
  <si>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</si>
  <si>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</si>
  <si>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</si>
  <si>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</si>
  <si>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</si>
  <si>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</si>
  <si>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</si>
  <si>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</si>
  <si>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</si>
  <si>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</si>
  <si>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</si>
  <si>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</si>
  <si>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Présenations des stages des eleves, attribution des projets</t>
  </si>
  <si>
    <t>Création du git, création de l'arborésence initiale, récupération des données à exporter et création d'une structure pour input les données des élèves dans les scripts</t>
  </si>
  <si>
    <t xml:space="preserve">Analyse du cahier des charges avec M.Gruaz, </t>
  </si>
  <si>
    <t xml:space="preserve">Planification initiale, création des user stories sur git, </t>
  </si>
  <si>
    <t>Recherche d'informations concernant les technologies PowerShell pour réaliser ce projet</t>
  </si>
  <si>
    <t>Présentation de M.Sahli sur les TPI, demande à M.Ferrari et M.Sahli pour mon chef de TPI</t>
  </si>
  <si>
    <t>Analyse des critères d'évaluation du TPI</t>
  </si>
  <si>
    <t>Remplissage du JDT, mise en forme du fichier</t>
  </si>
  <si>
    <t>Récupération de données de celules excel via PowerShell</t>
  </si>
  <si>
    <t>https://techexpert.tips/powershell/powershell-creating-excel-file/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</si>
</sst>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1" t="s">
        <v>18</v>
      </c>
      <c r="C19" s="11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3" t="s">
        <v>20</v>
      </c>
      <c r="C3" s="16">
        <v>0</v>
      </c>
    </row>
    <row r="4" spans="1:4" ht="19.5" customHeight="1" x14ac:dyDescent="0.25">
      <c r="A4" s="19"/>
      <c r="B4" s="11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3"/>
  <sheetViews>
    <sheetView tabSelected="1" workbookViewId="0">
      <selection activeCell="C12" sqref="C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7"/>
      <c r="B3" s="118"/>
      <c r="C3" s="119" t="s">
        <v>52</v>
      </c>
      <c r="D3" s="120"/>
    </row>
    <row r="4" spans="1:4" s="53" customFormat="1" x14ac:dyDescent="0.25">
      <c r="A4" s="1" t="s">
        <v>28</v>
      </c>
      <c r="B4" s="2">
        <v>18</v>
      </c>
      <c r="C4" s="10" t="s">
        <v>56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57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7"/>
      <c r="B7" s="118"/>
      <c r="C7" s="119" t="s">
        <v>53</v>
      </c>
      <c r="D7" s="120"/>
    </row>
    <row r="8" spans="1:4" s="53" customFormat="1" ht="27" x14ac:dyDescent="0.25">
      <c r="A8" s="1" t="s">
        <v>30</v>
      </c>
      <c r="B8" s="2">
        <v>6</v>
      </c>
      <c r="C8" s="10" t="s">
        <v>58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59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60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54" x14ac:dyDescent="0.25">
      <c r="A12" s="122" t="s">
        <v>33</v>
      </c>
      <c r="B12" s="122">
        <v>5</v>
      </c>
      <c r="C12" s="121" t="s">
        <v>64</v>
      </c>
      <c r="D12" s="90" t="s">
        <v>65</v>
      </c>
    </row>
    <row r="13" spans="1:4" s="53" customFormat="1" x14ac:dyDescent="0.25">
      <c r="A13" s="118"/>
      <c r="B13" s="118"/>
      <c r="C13" s="119" t="s">
        <v>54</v>
      </c>
      <c r="D13" s="120"/>
    </row>
    <row r="14" spans="1:4" s="53" customFormat="1" x14ac:dyDescent="0.25">
      <c r="A14" s="122" t="s">
        <v>26</v>
      </c>
      <c r="B14" s="122">
        <v>6</v>
      </c>
      <c r="C14" s="121" t="s">
        <v>61</v>
      </c>
      <c r="D14" s="121"/>
    </row>
    <row r="15" spans="1:4" s="53" customFormat="1" ht="27" x14ac:dyDescent="0.25">
      <c r="A15" s="51" t="s">
        <v>30</v>
      </c>
      <c r="B15" s="51">
        <v>4</v>
      </c>
      <c r="C15" s="52" t="s">
        <v>62</v>
      </c>
      <c r="D15" s="123"/>
    </row>
    <row r="16" spans="1:4" s="53" customFormat="1" x14ac:dyDescent="0.25">
      <c r="A16" s="51" t="s">
        <v>25</v>
      </c>
      <c r="B16" s="51">
        <v>2</v>
      </c>
      <c r="C16" s="52" t="s">
        <v>63</v>
      </c>
      <c r="D16" s="52"/>
    </row>
    <row r="17" spans="1:9" s="53" customFormat="1" x14ac:dyDescent="0.25">
      <c r="A17" s="118"/>
      <c r="B17" s="118"/>
      <c r="C17" s="119" t="s">
        <v>55</v>
      </c>
      <c r="D17" s="120"/>
    </row>
    <row r="18" spans="1:9" s="53" customFormat="1" x14ac:dyDescent="0.25">
      <c r="A18" s="51"/>
      <c r="B18" s="51"/>
      <c r="C18" s="52"/>
      <c r="D18" s="52"/>
    </row>
    <row r="19" spans="1:9" s="53" customFormat="1" ht="14.25" thickBot="1" x14ac:dyDescent="0.3">
      <c r="A19" s="3"/>
      <c r="B19" s="3"/>
      <c r="C19" s="11"/>
      <c r="D19" s="11"/>
    </row>
    <row r="20" spans="1:9" ht="14.25" thickBot="1" x14ac:dyDescent="0.3">
      <c r="A20" s="48" t="s">
        <v>21</v>
      </c>
      <c r="B20" s="48">
        <f>SUM(B3:B19)</f>
        <v>63</v>
      </c>
      <c r="C20" s="89" t="s">
        <v>51</v>
      </c>
      <c r="D20" s="49"/>
    </row>
    <row r="21" spans="1:9" ht="15" thickBot="1" x14ac:dyDescent="0.35">
      <c r="A21" s="50"/>
      <c r="B21" s="50"/>
      <c r="C21" s="50"/>
      <c r="D21" s="50"/>
    </row>
    <row r="22" spans="1:9" ht="18.75" thickBot="1" x14ac:dyDescent="0.3">
      <c r="A22" s="43" t="s">
        <v>13</v>
      </c>
      <c r="B22" s="44">
        <v>2</v>
      </c>
      <c r="C22" s="45" t="s">
        <v>22</v>
      </c>
      <c r="D22" s="54">
        <f>$D$1+7</f>
        <v>44956</v>
      </c>
    </row>
    <row r="23" spans="1:9" ht="27.75" thickBot="1" x14ac:dyDescent="0.3">
      <c r="A23" s="46" t="s">
        <v>2</v>
      </c>
      <c r="B23" s="47" t="s">
        <v>14</v>
      </c>
      <c r="C23" s="46" t="s">
        <v>6</v>
      </c>
      <c r="D23" s="46" t="s">
        <v>12</v>
      </c>
    </row>
    <row r="24" spans="1:9" x14ac:dyDescent="0.25">
      <c r="A24" s="117"/>
      <c r="B24" s="118"/>
      <c r="C24" s="119" t="s">
        <v>52</v>
      </c>
      <c r="D24" s="12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2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2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51"/>
      <c r="B36" s="51"/>
      <c r="C36" s="52"/>
      <c r="D36" s="52"/>
      <c r="E36" s="20"/>
      <c r="F36" s="37"/>
      <c r="G36" s="38"/>
      <c r="H36" s="38"/>
      <c r="I36" s="20"/>
    </row>
    <row r="37" spans="1:9" x14ac:dyDescent="0.25">
      <c r="A37" s="51"/>
      <c r="B37" s="51"/>
      <c r="C37" s="52"/>
      <c r="D37" s="52"/>
      <c r="E37" s="20"/>
      <c r="F37" s="39"/>
      <c r="G37" s="40"/>
      <c r="H37" s="40"/>
      <c r="I37" s="20"/>
    </row>
    <row r="38" spans="1:9" ht="15" thickBot="1" x14ac:dyDescent="0.35">
      <c r="A38" s="3"/>
      <c r="B38" s="3"/>
      <c r="C38" s="11"/>
      <c r="D38" s="11"/>
      <c r="E38" s="20"/>
      <c r="F38" s="41"/>
      <c r="G38" s="41"/>
      <c r="H38" s="41"/>
      <c r="I38" s="20"/>
    </row>
    <row r="39" spans="1:9" ht="14.25" thickBot="1" x14ac:dyDescent="0.3">
      <c r="A39" s="48" t="s">
        <v>21</v>
      </c>
      <c r="B39" s="48">
        <f>SUM(B24:B38)</f>
        <v>0</v>
      </c>
      <c r="C39" s="89" t="s">
        <v>51</v>
      </c>
      <c r="D39" s="49"/>
      <c r="E39" s="20"/>
      <c r="F39" s="20"/>
      <c r="G39" s="20"/>
      <c r="H39" s="20"/>
      <c r="I39" s="20"/>
    </row>
    <row r="40" spans="1:9" ht="15" thickBot="1" x14ac:dyDescent="0.35">
      <c r="A40" s="50"/>
      <c r="B40" s="50"/>
      <c r="C40" s="50"/>
      <c r="D40" s="50"/>
      <c r="E40" s="20"/>
      <c r="F40" s="20"/>
      <c r="G40" s="20"/>
      <c r="H40" s="20"/>
      <c r="I40" s="20"/>
    </row>
    <row r="41" spans="1:9" ht="18.75" thickBot="1" x14ac:dyDescent="0.3">
      <c r="A41" s="43" t="s">
        <v>13</v>
      </c>
      <c r="B41" s="44">
        <v>3</v>
      </c>
      <c r="C41" s="45" t="s">
        <v>22</v>
      </c>
      <c r="D41" s="54">
        <f>$D$22+7</f>
        <v>44963</v>
      </c>
      <c r="E41" s="20"/>
      <c r="F41" s="20"/>
      <c r="G41" s="20"/>
      <c r="H41" s="20"/>
      <c r="I41" s="20"/>
    </row>
    <row r="42" spans="1:9" ht="27.75" thickBot="1" x14ac:dyDescent="0.3">
      <c r="A42" s="46" t="s">
        <v>2</v>
      </c>
      <c r="B42" s="47" t="s">
        <v>14</v>
      </c>
      <c r="C42" s="46" t="s">
        <v>6</v>
      </c>
      <c r="D42" s="46" t="s">
        <v>12</v>
      </c>
    </row>
    <row r="43" spans="1:9" x14ac:dyDescent="0.25">
      <c r="A43" s="5"/>
      <c r="B43" s="4"/>
      <c r="C43" s="9"/>
      <c r="D43" s="9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51"/>
      <c r="B55" s="51"/>
      <c r="C55" s="52"/>
      <c r="D55" s="52"/>
    </row>
    <row r="56" spans="1:4" x14ac:dyDescent="0.25">
      <c r="A56" s="51"/>
      <c r="B56" s="51"/>
      <c r="C56" s="52"/>
      <c r="D56" s="52"/>
    </row>
    <row r="57" spans="1:4" ht="14.25" thickBot="1" x14ac:dyDescent="0.3">
      <c r="A57" s="3"/>
      <c r="B57" s="3"/>
      <c r="C57" s="11"/>
      <c r="D57" s="11"/>
    </row>
    <row r="58" spans="1:4" ht="14.25" thickBot="1" x14ac:dyDescent="0.3">
      <c r="A58" s="48" t="s">
        <v>21</v>
      </c>
      <c r="B58" s="48">
        <f>SUM(B43:B57)</f>
        <v>0</v>
      </c>
      <c r="C58" s="89" t="s">
        <v>51</v>
      </c>
      <c r="D58" s="49"/>
    </row>
    <row r="59" spans="1:4" ht="15" thickBot="1" x14ac:dyDescent="0.35">
      <c r="A59" s="50"/>
      <c r="B59" s="50"/>
      <c r="C59" s="50"/>
      <c r="D59" s="50"/>
    </row>
    <row r="60" spans="1:4" ht="18.75" thickBot="1" x14ac:dyDescent="0.3">
      <c r="A60" s="43" t="s">
        <v>13</v>
      </c>
      <c r="B60" s="44">
        <v>4</v>
      </c>
      <c r="C60" s="45" t="s">
        <v>22</v>
      </c>
      <c r="D60" s="54">
        <f>$D$41+7</f>
        <v>44970</v>
      </c>
    </row>
    <row r="61" spans="1:4" ht="27.75" thickBot="1" x14ac:dyDescent="0.3">
      <c r="A61" s="46" t="s">
        <v>2</v>
      </c>
      <c r="B61" s="47" t="s">
        <v>14</v>
      </c>
      <c r="C61" s="46" t="s">
        <v>6</v>
      </c>
      <c r="D61" s="46" t="s">
        <v>12</v>
      </c>
    </row>
    <row r="62" spans="1:4" x14ac:dyDescent="0.25">
      <c r="A62" s="5"/>
      <c r="B62" s="4"/>
      <c r="C62" s="9"/>
      <c r="D62" s="9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2"/>
      <c r="B73" s="2"/>
      <c r="C73" s="10"/>
      <c r="D73" s="10"/>
    </row>
    <row r="74" spans="1:4" x14ac:dyDescent="0.25">
      <c r="A74" s="51"/>
      <c r="B74" s="51"/>
      <c r="C74" s="52"/>
      <c r="D74" s="52"/>
    </row>
    <row r="75" spans="1:4" x14ac:dyDescent="0.25">
      <c r="A75" s="51"/>
      <c r="B75" s="51"/>
      <c r="C75" s="52"/>
      <c r="D75" s="52"/>
    </row>
    <row r="76" spans="1:4" ht="14.25" thickBot="1" x14ac:dyDescent="0.3">
      <c r="A76" s="3"/>
      <c r="B76" s="3"/>
      <c r="C76" s="11"/>
      <c r="D76" s="11"/>
    </row>
    <row r="77" spans="1:4" ht="14.25" thickBot="1" x14ac:dyDescent="0.3">
      <c r="A77" s="48" t="s">
        <v>21</v>
      </c>
      <c r="B77" s="48">
        <f>SUM(B62:B76)</f>
        <v>0</v>
      </c>
      <c r="C77" s="89" t="s">
        <v>51</v>
      </c>
      <c r="D77" s="49"/>
    </row>
    <row r="78" spans="1:4" ht="15" thickBot="1" x14ac:dyDescent="0.35">
      <c r="A78" s="50"/>
      <c r="B78" s="50"/>
      <c r="C78" s="50"/>
      <c r="D78" s="50"/>
    </row>
    <row r="79" spans="1:4" ht="18.75" thickBot="1" x14ac:dyDescent="0.3">
      <c r="A79" s="43" t="s">
        <v>13</v>
      </c>
      <c r="B79" s="44">
        <v>5</v>
      </c>
      <c r="C79" s="45" t="s">
        <v>22</v>
      </c>
      <c r="D79" s="54">
        <f>$D$60+7</f>
        <v>44977</v>
      </c>
    </row>
    <row r="80" spans="1:4" ht="27.75" thickBot="1" x14ac:dyDescent="0.3">
      <c r="A80" s="46" t="s">
        <v>2</v>
      </c>
      <c r="B80" s="47" t="s">
        <v>14</v>
      </c>
      <c r="C80" s="46" t="s">
        <v>6</v>
      </c>
      <c r="D80" s="46" t="s">
        <v>12</v>
      </c>
    </row>
    <row r="81" spans="1:4" x14ac:dyDescent="0.25">
      <c r="A81" s="5"/>
      <c r="B81" s="4"/>
      <c r="C81" s="9"/>
      <c r="D81" s="9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2"/>
      <c r="B92" s="2"/>
      <c r="C92" s="10"/>
      <c r="D92" s="10"/>
    </row>
    <row r="93" spans="1:4" x14ac:dyDescent="0.25">
      <c r="A93" s="51"/>
      <c r="B93" s="51"/>
      <c r="C93" s="52"/>
      <c r="D93" s="52"/>
    </row>
    <row r="94" spans="1:4" x14ac:dyDescent="0.25">
      <c r="A94" s="51"/>
      <c r="B94" s="51"/>
      <c r="C94" s="52"/>
      <c r="D94" s="52"/>
    </row>
    <row r="95" spans="1:4" ht="14.25" thickBot="1" x14ac:dyDescent="0.3">
      <c r="A95" s="3"/>
      <c r="B95" s="3"/>
      <c r="C95" s="11"/>
      <c r="D95" s="11"/>
    </row>
    <row r="96" spans="1:4" ht="14.25" thickBot="1" x14ac:dyDescent="0.3">
      <c r="A96" s="48" t="s">
        <v>21</v>
      </c>
      <c r="B96" s="48">
        <f>SUM(B81:B95)</f>
        <v>0</v>
      </c>
      <c r="C96" s="89" t="s">
        <v>51</v>
      </c>
      <c r="D96" s="49"/>
    </row>
    <row r="97" spans="1:4" ht="15" thickBot="1" x14ac:dyDescent="0.35">
      <c r="A97" s="50"/>
      <c r="B97" s="50"/>
      <c r="C97" s="50"/>
      <c r="D97" s="50"/>
    </row>
    <row r="98" spans="1:4" ht="18.75" thickBot="1" x14ac:dyDescent="0.3">
      <c r="A98" s="43" t="s">
        <v>13</v>
      </c>
      <c r="B98" s="44">
        <v>6</v>
      </c>
      <c r="C98" s="45" t="s">
        <v>22</v>
      </c>
      <c r="D98" s="54">
        <f>$D$79+7</f>
        <v>44984</v>
      </c>
    </row>
    <row r="99" spans="1:4" ht="27.75" thickBot="1" x14ac:dyDescent="0.3">
      <c r="A99" s="46" t="s">
        <v>2</v>
      </c>
      <c r="B99" s="47" t="s">
        <v>14</v>
      </c>
      <c r="C99" s="46" t="s">
        <v>6</v>
      </c>
      <c r="D99" s="46" t="s">
        <v>12</v>
      </c>
    </row>
    <row r="100" spans="1:4" x14ac:dyDescent="0.25">
      <c r="A100" s="5"/>
      <c r="B100" s="4"/>
      <c r="C100" s="9"/>
      <c r="D100" s="9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51"/>
      <c r="B112" s="51"/>
      <c r="C112" s="52"/>
      <c r="D112" s="52"/>
    </row>
    <row r="113" spans="1:4" x14ac:dyDescent="0.25">
      <c r="A113" s="51"/>
      <c r="B113" s="51"/>
      <c r="C113" s="52"/>
      <c r="D113" s="52"/>
    </row>
    <row r="114" spans="1:4" ht="14.25" thickBot="1" x14ac:dyDescent="0.3">
      <c r="A114" s="3"/>
      <c r="B114" s="3"/>
      <c r="C114" s="11"/>
      <c r="D114" s="11"/>
    </row>
    <row r="115" spans="1:4" ht="14.25" thickBot="1" x14ac:dyDescent="0.3">
      <c r="A115" s="48" t="s">
        <v>21</v>
      </c>
      <c r="B115" s="48">
        <f>SUM(B100:B114)</f>
        <v>0</v>
      </c>
      <c r="C115" s="89" t="s">
        <v>51</v>
      </c>
      <c r="D115" s="49"/>
    </row>
    <row r="116" spans="1:4" ht="15" thickBot="1" x14ac:dyDescent="0.35">
      <c r="A116" s="50"/>
      <c r="B116" s="50"/>
      <c r="C116" s="50"/>
      <c r="D116" s="50"/>
    </row>
    <row r="117" spans="1:4" ht="18.75" thickBot="1" x14ac:dyDescent="0.3">
      <c r="A117" s="43" t="s">
        <v>13</v>
      </c>
      <c r="B117" s="44">
        <v>7</v>
      </c>
      <c r="C117" s="45" t="s">
        <v>22</v>
      </c>
      <c r="D117" s="54">
        <f>$D$98+7</f>
        <v>44991</v>
      </c>
    </row>
    <row r="118" spans="1:4" ht="27.75" thickBot="1" x14ac:dyDescent="0.3">
      <c r="A118" s="46" t="s">
        <v>2</v>
      </c>
      <c r="B118" s="47" t="s">
        <v>14</v>
      </c>
      <c r="C118" s="46" t="s">
        <v>6</v>
      </c>
      <c r="D118" s="46" t="s">
        <v>12</v>
      </c>
    </row>
    <row r="119" spans="1:4" x14ac:dyDescent="0.25">
      <c r="A119" s="5"/>
      <c r="B119" s="4"/>
      <c r="C119" s="9"/>
      <c r="D119" s="9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51"/>
      <c r="B131" s="51"/>
      <c r="C131" s="52"/>
      <c r="D131" s="52"/>
    </row>
    <row r="132" spans="1:4" x14ac:dyDescent="0.25">
      <c r="A132" s="51"/>
      <c r="B132" s="51"/>
      <c r="C132" s="52"/>
      <c r="D132" s="52"/>
    </row>
    <row r="133" spans="1:4" ht="14.25" thickBot="1" x14ac:dyDescent="0.3">
      <c r="A133" s="3"/>
      <c r="B133" s="3"/>
      <c r="C133" s="11"/>
      <c r="D133" s="11"/>
    </row>
    <row r="134" spans="1:4" ht="14.25" thickBot="1" x14ac:dyDescent="0.3">
      <c r="A134" s="48" t="s">
        <v>21</v>
      </c>
      <c r="B134" s="48">
        <f>SUM(B119:B133)</f>
        <v>0</v>
      </c>
      <c r="C134" s="89" t="s">
        <v>51</v>
      </c>
      <c r="D134" s="49"/>
    </row>
    <row r="135" spans="1:4" ht="15" thickBot="1" x14ac:dyDescent="0.35">
      <c r="A135" s="50"/>
      <c r="B135" s="50"/>
      <c r="C135" s="50"/>
      <c r="D135" s="50"/>
    </row>
    <row r="136" spans="1:4" ht="18.75" thickBot="1" x14ac:dyDescent="0.3">
      <c r="A136" s="43" t="s">
        <v>13</v>
      </c>
      <c r="B136" s="44">
        <v>8</v>
      </c>
      <c r="C136" s="45" t="s">
        <v>22</v>
      </c>
      <c r="D136" s="54">
        <f>$D$117+7</f>
        <v>44998</v>
      </c>
    </row>
    <row r="137" spans="1:4" ht="27.75" thickBot="1" x14ac:dyDescent="0.3">
      <c r="A137" s="46" t="s">
        <v>2</v>
      </c>
      <c r="B137" s="47" t="s">
        <v>14</v>
      </c>
      <c r="C137" s="46" t="s">
        <v>6</v>
      </c>
      <c r="D137" s="46" t="s">
        <v>12</v>
      </c>
    </row>
    <row r="138" spans="1:4" x14ac:dyDescent="0.25">
      <c r="A138" s="5"/>
      <c r="B138" s="4"/>
      <c r="C138" s="9"/>
      <c r="D138" s="9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51"/>
      <c r="B150" s="51"/>
      <c r="C150" s="52"/>
      <c r="D150" s="52"/>
    </row>
    <row r="151" spans="1:4" x14ac:dyDescent="0.25">
      <c r="A151" s="51"/>
      <c r="B151" s="51"/>
      <c r="C151" s="52"/>
      <c r="D151" s="52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48" t="s">
        <v>21</v>
      </c>
      <c r="B153" s="48">
        <f>SUM(B138:B152)</f>
        <v>0</v>
      </c>
      <c r="C153" s="89" t="s">
        <v>51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13</v>
      </c>
      <c r="B155" s="44">
        <v>9</v>
      </c>
      <c r="C155" s="45" t="s">
        <v>22</v>
      </c>
      <c r="D155" s="54">
        <f>$D$136+7</f>
        <v>45005</v>
      </c>
    </row>
    <row r="156" spans="1:4" ht="27.75" thickBot="1" x14ac:dyDescent="0.3">
      <c r="A156" s="46" t="s">
        <v>2</v>
      </c>
      <c r="B156" s="47" t="s">
        <v>14</v>
      </c>
      <c r="C156" s="46" t="s">
        <v>6</v>
      </c>
      <c r="D156" s="46" t="s">
        <v>12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21</v>
      </c>
      <c r="B172" s="48">
        <f>SUM(B157:B171)</f>
        <v>0</v>
      </c>
      <c r="C172" s="89" t="s">
        <v>51</v>
      </c>
      <c r="D172" s="49"/>
    </row>
    <row r="173" spans="1:4" ht="15" thickBot="1" x14ac:dyDescent="0.35">
      <c r="A173" s="50"/>
      <c r="B173" s="50"/>
      <c r="C173" s="50"/>
      <c r="D173" s="50"/>
    </row>
    <row r="174" spans="1:4" ht="18.75" thickBot="1" x14ac:dyDescent="0.3">
      <c r="A174" s="43" t="s">
        <v>13</v>
      </c>
      <c r="B174" s="44">
        <v>10</v>
      </c>
      <c r="C174" s="45" t="s">
        <v>22</v>
      </c>
      <c r="D174" s="54">
        <f>$D$155+7</f>
        <v>45012</v>
      </c>
    </row>
    <row r="175" spans="1:4" ht="27.75" thickBot="1" x14ac:dyDescent="0.3">
      <c r="A175" s="46" t="s">
        <v>2</v>
      </c>
      <c r="B175" s="47" t="s">
        <v>14</v>
      </c>
      <c r="C175" s="46" t="s">
        <v>6</v>
      </c>
      <c r="D175" s="46" t="s">
        <v>12</v>
      </c>
    </row>
    <row r="176" spans="1:4" x14ac:dyDescent="0.25">
      <c r="A176" s="5"/>
      <c r="B176" s="4"/>
      <c r="C176" s="9"/>
      <c r="D176" s="9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51"/>
      <c r="B188" s="51"/>
      <c r="C188" s="52"/>
      <c r="D188" s="52"/>
    </row>
    <row r="189" spans="1:4" x14ac:dyDescent="0.25">
      <c r="A189" s="51"/>
      <c r="B189" s="51"/>
      <c r="C189" s="52"/>
      <c r="D189" s="52"/>
    </row>
    <row r="190" spans="1:4" ht="14.25" thickBot="1" x14ac:dyDescent="0.3">
      <c r="A190" s="3"/>
      <c r="B190" s="3"/>
      <c r="C190" s="11"/>
      <c r="D190" s="11"/>
    </row>
    <row r="191" spans="1:4" ht="14.25" thickBot="1" x14ac:dyDescent="0.3">
      <c r="A191" s="48" t="s">
        <v>21</v>
      </c>
      <c r="B191" s="48">
        <f>SUM(B176:B190)</f>
        <v>0</v>
      </c>
      <c r="C191" s="89" t="s">
        <v>51</v>
      </c>
      <c r="D191" s="49"/>
    </row>
    <row r="192" spans="1:4" ht="14.25" x14ac:dyDescent="0.3">
      <c r="A192" s="50"/>
      <c r="B192" s="50"/>
      <c r="C192" s="50"/>
      <c r="D192" s="50"/>
    </row>
    <row r="193" spans="1:1" x14ac:dyDescent="0.25">
      <c r="A193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9:F36 B43:B57 B62:B76 B81:B95 B100:B114 B119:B133 B138:B152 B157:B171 B176:B190 B24:B38 B3:B19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9 B58 B77 B96 B115 B134 B153 B172 B191" xr:uid="{AC09EF01-5E22-4EA1-BB83-D8349F85B499}">
      <formula1>0</formula1>
      <formula2>NbPerWeek * NbQuartPer</formula2>
    </dataValidation>
    <dataValidation type="list" allowBlank="1" showInputMessage="1" showErrorMessage="1" sqref="A43:A57 A62:A76 A81:A95 A100:A114 A119:A133 A138:A152 A157:A171 A176:A190 A24:A38 A3:A19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xr:uid="{A285C69D-09E8-4CC1-99F3-55B38B098614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6451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7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15">
        <v>44949</v>
      </c>
      <c r="D2" s="115"/>
      <c r="E2" s="115"/>
      <c r="F2" s="115"/>
      <c r="G2" s="115">
        <v>44956</v>
      </c>
      <c r="H2" s="115"/>
      <c r="I2" s="115"/>
      <c r="J2" s="115"/>
      <c r="K2" s="115">
        <v>44963</v>
      </c>
      <c r="L2" s="115"/>
      <c r="M2" s="115"/>
      <c r="N2" s="115"/>
      <c r="O2" s="115">
        <v>44970</v>
      </c>
      <c r="P2" s="115"/>
      <c r="Q2" s="115"/>
      <c r="R2" s="115"/>
      <c r="S2" s="115">
        <v>44977</v>
      </c>
      <c r="T2" s="115"/>
      <c r="U2" s="115"/>
      <c r="V2" s="115"/>
      <c r="W2" s="115">
        <v>44984</v>
      </c>
      <c r="X2" s="115"/>
      <c r="Y2" s="115"/>
      <c r="Z2" s="115"/>
      <c r="AA2" s="115">
        <v>44991</v>
      </c>
      <c r="AB2" s="115"/>
      <c r="AC2" s="115"/>
      <c r="AD2" s="115"/>
      <c r="AE2" s="115">
        <v>44998</v>
      </c>
      <c r="AF2" s="115"/>
      <c r="AG2" s="115"/>
      <c r="AH2" s="115"/>
      <c r="AI2" s="115">
        <v>45005</v>
      </c>
      <c r="AJ2" s="115"/>
      <c r="AK2" s="115"/>
      <c r="AL2" s="115"/>
    </row>
    <row r="3" spans="2:38" ht="14.25" thickBot="1" x14ac:dyDescent="0.3">
      <c r="C3" s="116" t="s">
        <v>41</v>
      </c>
      <c r="D3" s="116"/>
      <c r="E3" s="116"/>
      <c r="F3" s="116"/>
      <c r="G3" s="116" t="s">
        <v>42</v>
      </c>
      <c r="H3" s="116"/>
      <c r="I3" s="116"/>
      <c r="J3" s="116"/>
      <c r="K3" s="116" t="s">
        <v>43</v>
      </c>
      <c r="L3" s="116"/>
      <c r="M3" s="116"/>
      <c r="N3" s="116"/>
      <c r="O3" s="116" t="s">
        <v>44</v>
      </c>
      <c r="P3" s="116"/>
      <c r="Q3" s="116"/>
      <c r="R3" s="116"/>
      <c r="S3" s="116" t="s">
        <v>45</v>
      </c>
      <c r="T3" s="116"/>
      <c r="U3" s="116"/>
      <c r="V3" s="116"/>
      <c r="W3" s="116" t="s">
        <v>46</v>
      </c>
      <c r="X3" s="116"/>
      <c r="Y3" s="116"/>
      <c r="Z3" s="116"/>
      <c r="AA3" s="116" t="s">
        <v>47</v>
      </c>
      <c r="AB3" s="116"/>
      <c r="AC3" s="116"/>
      <c r="AD3" s="116"/>
      <c r="AE3" s="116" t="s">
        <v>48</v>
      </c>
      <c r="AF3" s="116"/>
      <c r="AG3" s="116"/>
      <c r="AH3" s="116"/>
      <c r="AI3" s="116" t="s">
        <v>49</v>
      </c>
      <c r="AJ3" s="116"/>
      <c r="AK3" s="116"/>
      <c r="AL3" s="116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2023-01-27T07:08:42Z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