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1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duvaud.sharepoint.com/sites/ETML_INF4-19-23_Teams/Documents partages/P_APPRO_A12/GGZ-PRG-sylvain-powershell/01-modele-exemple/"/>
    </mc:Choice>
  </mc:AlternateContent>
  <xr:revisionPtr revIDLastSave="388" documentId="8_{24D7311A-7865-4119-898C-AE830B68B766}" xr6:coauthVersionLast="47" xr6:coauthVersionMax="47" xr10:uidLastSave="{4B36CEDA-349A-4CF1-9073-B9DEF4D6E643}"/>
  <bookViews>
    <workbookView xWindow="-108" yWindow="-108" windowWidth="23256" windowHeight="12576" firstSheet="1" activeTab="1" xr2:uid="{00000000-000D-0000-FFFF-FFFF00000000}"/>
  </bookViews>
  <sheets>
    <sheet name="MASTER" sheetId="4" state="hidden" r:id="rId1"/>
    <sheet name="Automation" sheetId="3" r:id="rId2"/>
    <sheet name="GGZ1_ggz1" sheetId="5" r:id="rId3"/>
    <sheet name="GGZ2_ggz2" sheetId="6" r:id="rId4"/>
  </sheets>
  <definedNames>
    <definedName name="cst_A" localSheetId="2">GGZ1_ggz1!$S$3</definedName>
    <definedName name="cst_A" localSheetId="3">GGZ2_ggz2!$S$3</definedName>
    <definedName name="cst_A">MASTER!$S$3</definedName>
    <definedName name="cst_ERR" localSheetId="2">GGZ1_ggz1!$S$6</definedName>
    <definedName name="cst_ERR" localSheetId="3">GGZ2_ggz2!$S$6</definedName>
    <definedName name="cst_ERR">MASTER!$S$6</definedName>
    <definedName name="cst_ignore" localSheetId="2">GGZ1_ggz1!$T$1</definedName>
    <definedName name="cst_ignore" localSheetId="3">GGZ2_ggz2!$T$1</definedName>
    <definedName name="cst_ignore">MASTER!$T$1</definedName>
    <definedName name="cst_ignore_FAUX" localSheetId="2">GGZ1_ggz1!$T$3</definedName>
    <definedName name="cst_ignore_FAUX" localSheetId="3">GGZ2_ggz2!$T$3</definedName>
    <definedName name="cst_ignore_FAUX">MASTER!$T$3</definedName>
    <definedName name="cst_ignore_VRAI" localSheetId="2">GGZ1_ggz1!$T$2</definedName>
    <definedName name="cst_ignore_VRAI" localSheetId="3">GGZ2_ggz2!$T$2</definedName>
    <definedName name="cst_ignore_VRAI">MASTER!$T$2</definedName>
    <definedName name="cst_LA" localSheetId="2">GGZ1_ggz1!$S$2</definedName>
    <definedName name="cst_LA" localSheetId="3">GGZ2_ggz2!$S$2</definedName>
    <definedName name="cst_LA">MASTER!$S$2</definedName>
    <definedName name="cst_NA" localSheetId="2">GGZ1_ggz1!$S$5</definedName>
    <definedName name="cst_NA" localSheetId="3">GGZ2_ggz2!$S$5</definedName>
    <definedName name="cst_NA">MASTER!$S$5</definedName>
    <definedName name="cst_PA" localSheetId="2">GGZ1_ggz1!$S$4</definedName>
    <definedName name="cst_PA" localSheetId="3">GGZ2_ggz2!$S$4</definedName>
    <definedName name="cst_PA">MASTER!$S$4</definedName>
    <definedName name="_xlnm.Print_Area" localSheetId="1">Automation!$C$1:$D$17</definedName>
    <definedName name="_xlnm.Print_Area" localSheetId="2">GGZ1_ggz1!$A$1:$Q$18</definedName>
    <definedName name="_xlnm.Print_Area" localSheetId="3">GGZ2_ggz2!$A$1:$Q$18</definedName>
    <definedName name="_xlnm.Print_Area" localSheetId="0">MASTER!$A$1:$Q$18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3" i="6" l="1" a="1"/>
  <c r="Q13" i="6" s="1"/>
  <c r="Q12" i="6" a="1"/>
  <c r="Q12" i="6" s="1"/>
  <c r="Q11" i="6" a="1"/>
  <c r="Q11" i="6" s="1"/>
  <c r="Q10" i="6" a="1"/>
  <c r="Q10" i="6" s="1"/>
  <c r="Q9" i="6" a="1"/>
  <c r="Q9" i="6" s="1"/>
  <c r="Q8" i="6" a="1"/>
  <c r="Q8" i="6" s="1"/>
  <c r="Q7" i="6" a="1"/>
  <c r="Q7" i="6" s="1"/>
  <c r="Q6" i="6" a="1"/>
  <c r="Q6" i="6" s="1"/>
  <c r="J4" i="6"/>
  <c r="E4" i="6"/>
  <c r="J3" i="6"/>
  <c r="E3" i="6"/>
  <c r="J2" i="6"/>
  <c r="Q13" i="5" a="1"/>
  <c r="Q13" i="5" s="1"/>
  <c r="Q12" i="5" a="1"/>
  <c r="Q12" i="5" s="1"/>
  <c r="Q11" i="5" a="1"/>
  <c r="Q11" i="5" s="1"/>
  <c r="Q10" i="5" a="1"/>
  <c r="Q10" i="5" s="1"/>
  <c r="Q9" i="5" a="1"/>
  <c r="Q9" i="5" s="1"/>
  <c r="Q8" i="5" a="1"/>
  <c r="Q8" i="5" s="1"/>
  <c r="Q7" i="5" a="1"/>
  <c r="Q7" i="5" s="1"/>
  <c r="Q6" i="5" a="1"/>
  <c r="Q6" i="5" s="1"/>
  <c r="J4" i="5"/>
  <c r="E4" i="5"/>
  <c r="J3" i="5"/>
  <c r="E3" i="5"/>
  <c r="J2" i="5"/>
  <c r="Q18" i="6" l="1"/>
  <c r="Q18" i="5"/>
  <c r="Q6" i="4" l="1" a="1"/>
  <c r="Q6" i="4" s="1"/>
  <c r="Q12" i="4" a="1"/>
  <c r="Q12" i="4" s="1"/>
  <c r="Q11" i="4" a="1"/>
  <c r="Q11" i="4" s="1"/>
  <c r="Q10" i="4" a="1"/>
  <c r="Q10" i="4" s="1"/>
  <c r="Q9" i="4" a="1"/>
  <c r="Q9" i="4" s="1"/>
  <c r="Q8" i="4" a="1"/>
  <c r="Q8" i="4" s="1"/>
  <c r="Q7" i="4" a="1"/>
  <c r="Q7" i="4" s="1"/>
  <c r="Q13" i="4" a="1"/>
  <c r="Q13" i="4" s="1"/>
  <c r="Q18" i="4" l="1"/>
  <c r="J4" i="4"/>
  <c r="J3" i="4"/>
  <c r="J2" i="4"/>
  <c r="E4" i="4"/>
  <c r="E3" i="4"/>
  <c r="C17" i="3" l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E2" i="6" s="1"/>
  <c r="C2" i="3"/>
  <c r="E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<sst xmlns="http://schemas.openxmlformats.org/spreadsheetml/2006/main" count="358" uniqueCount="67">
  <si>
    <t xml:space="preserve">ÉVALUATION DES COMPÉTENCES EN PRATIQUE POUR LA FORMATION </t>
  </si>
  <si>
    <t>Niveau d'acquisition</t>
  </si>
  <si>
    <t>Ignoré</t>
  </si>
  <si>
    <t>INFORMATICIEN-NE</t>
  </si>
  <si>
    <t>Nom et Prénom :</t>
  </si>
  <si>
    <t>MASTER</t>
  </si>
  <si>
    <t>Nom du projet :</t>
  </si>
  <si>
    <t>LA</t>
  </si>
  <si>
    <t>Année de formation - classe :</t>
  </si>
  <si>
    <t>Semaines :</t>
  </si>
  <si>
    <t>A</t>
  </si>
  <si>
    <t>Enseignant :</t>
  </si>
  <si>
    <t>Dates :</t>
  </si>
  <si>
    <t>PA</t>
  </si>
  <si>
    <t>LARGEMENT ACQUIS</t>
  </si>
  <si>
    <t>ACQUIS</t>
  </si>
  <si>
    <t>PARTIELLEMENT ACQUIS</t>
  </si>
  <si>
    <t>NON ACQUIS</t>
  </si>
  <si>
    <t>Résultat</t>
  </si>
  <si>
    <t>NA</t>
  </si>
  <si>
    <t>Compétences</t>
  </si>
  <si>
    <t>PROFESSIONNELLES</t>
  </si>
  <si>
    <t xml:space="preserve">
° Garantit les délais
° Travaille rapidement
</t>
  </si>
  <si>
    <t>o</t>
  </si>
  <si>
    <t>Parfaitement</t>
  </si>
  <si>
    <t>A peu près</t>
  </si>
  <si>
    <t>Pas assez</t>
  </si>
  <si>
    <t>Pas du tout</t>
  </si>
  <si>
    <t>ERR</t>
  </si>
  <si>
    <t xml:space="preserve">
° Produit un travail parfaitement utilisable 
° Produit un travail transmissible 
° Produit un travail sans nécessité de retouches
</t>
  </si>
  <si>
    <t xml:space="preserve">
° Maîtrise les aspects techniques 
</t>
  </si>
  <si>
    <t xml:space="preserve">
° Travaille de façon autonome
° Se montre indépendant
° Se montre engagé dans son travail
</t>
  </si>
  <si>
    <t>Méthodologie</t>
  </si>
  <si>
    <t xml:space="preserve">
° Intègre les règles et les processus de travail
</t>
  </si>
  <si>
    <t xml:space="preserve">
° Maîtrise les différents moyens de communication (oral et/ou écrit)
° Produit de la documentation de façon professionnelle (JNLTRAV)
</t>
  </si>
  <si>
    <t xml:space="preserve">
° Réalise ses tâches en tenant compte des principes de durabilité
° Travaille de façon efficiente
° Respecte les infrastructures
</t>
  </si>
  <si>
    <t>Sociales</t>
  </si>
  <si>
    <t xml:space="preserve">
° Apporte des contributions positives au groupe
° Respecte les autres et des règles sociales
° Cherche des solutions constructives
</t>
  </si>
  <si>
    <t>Réalisation du projet onboarding</t>
  </si>
  <si>
    <t>Totaux</t>
  </si>
  <si>
    <t>La qualité du travail est évaluée selon les considérations suivantes :</t>
  </si>
  <si>
    <t>Date :</t>
  </si>
  <si>
    <t>1) Quantité d'informations : le catalogue est complet et contient des informations essentielles et pertinentes.</t>
  </si>
  <si>
    <t>Apprenti :</t>
  </si>
  <si>
    <t>2) Qualité des informations : le catalogue est structuré, il est aisé de trouver les informations qui sont rédigées correctement</t>
  </si>
  <si>
    <t xml:space="preserve">Enseignant : </t>
  </si>
  <si>
    <t>3) Esthétique : le catalogue est présenté de façon agréable et bien lisible</t>
  </si>
  <si>
    <t>Résultat final</t>
  </si>
  <si>
    <t>Notes</t>
  </si>
  <si>
    <t>Nom</t>
  </si>
  <si>
    <t>Prénom</t>
  </si>
  <si>
    <t>Liste du groupe</t>
  </si>
  <si>
    <t>Note finale</t>
  </si>
  <si>
    <t>GGZ1</t>
  </si>
  <si>
    <t>ggz1</t>
  </si>
  <si>
    <t>GGZ2</t>
  </si>
  <si>
    <t>ggz2</t>
  </si>
  <si>
    <t>Données générales (obligatoires)</t>
  </si>
  <si>
    <t>cin1c</t>
  </si>
  <si>
    <t>ggz</t>
  </si>
  <si>
    <t>p_onboarding</t>
  </si>
  <si>
    <t>10.11.22 - 12.01.23</t>
  </si>
  <si>
    <t>Version du 20 décembre 2022 par GGZ</t>
  </si>
  <si>
    <t>Opérations possibles seulement après avoir enregistré le fichier …</t>
  </si>
  <si>
    <t>1) Quantité d'informations : Quantité d'informations : horaires, tel et email prof, promotions, secrétariat, 
modules ict, contrat, chartes</t>
  </si>
  <si>
    <t>2) Qualité des informations : le catalogue est structuré, il est aisé de trouver les informations qui sont rédigées 
correctement</t>
  </si>
  <si>
    <t>G Gruaz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</si>
</sst>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>
    <font>
      <sz val="1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entury Gothic"/>
      <family val="2"/>
      <scheme val="minor"/>
    </font>
    <font>
      <b/>
      <sz val="8"/>
      <color indexed="1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10"/>
      <name val="Arial"/>
      <family val="2"/>
    </font>
    <font>
      <sz val="16"/>
      <name val="Arial"/>
      <family val="2"/>
    </font>
    <font>
      <b/>
      <sz val="11"/>
      <name val="Century Gothic"/>
      <family val="2"/>
      <scheme val="minor"/>
    </font>
    <font>
      <b/>
      <sz val="18"/>
      <name val="Century Gothic"/>
      <family val="2"/>
      <scheme val="minor"/>
    </font>
    <font>
      <sz val="24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1"/>
      <name val="Century Gothic"/>
      <family val="2"/>
      <scheme val="minor"/>
    </font>
    <font>
      <b/>
      <sz val="11"/>
      <color indexed="8"/>
      <name val="Century Gothic"/>
      <family val="2"/>
      <scheme val="minor"/>
    </font>
    <font>
      <sz val="11"/>
      <name val="Wingdings"/>
      <charset val="2"/>
    </font>
    <font>
      <sz val="11"/>
      <color indexed="8"/>
      <name val="Century Gothic"/>
      <family val="2"/>
      <scheme val="minor"/>
    </font>
    <font>
      <sz val="11"/>
      <name val="Arial"/>
      <family val="2"/>
    </font>
    <font>
      <sz val="11"/>
      <color indexed="9"/>
      <name val="Century Gothic"/>
      <family val="2"/>
      <scheme val="minor"/>
    </font>
    <font>
      <b/>
      <sz val="11"/>
      <color indexed="9"/>
      <name val="Century Gothic"/>
      <family val="2"/>
      <scheme val="minor"/>
    </font>
    <font>
      <b/>
      <sz val="10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8"/>
      <name val="ETML L"/>
      <family val="2"/>
    </font>
    <font>
      <b/>
      <sz val="11"/>
      <color theme="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dott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theme="0"/>
      </top>
      <bottom/>
      <diagonal/>
    </border>
    <border>
      <left/>
      <right/>
      <top style="thick">
        <color theme="0"/>
      </top>
      <bottom/>
      <diagonal/>
    </border>
  </borders>
  <cellStyleXfs count="4">
    <xf numFmtId="0" fontId="0" fillId="0" borderId="0"/>
    <xf numFmtId="0" fontId="5" fillId="3" borderId="0" applyNumberFormat="0" applyBorder="0" applyAlignment="0" applyProtection="0"/>
    <xf numFmtId="0" fontId="6" fillId="0" borderId="0"/>
    <xf numFmtId="0" fontId="20" fillId="4" borderId="36" applyNumberFormat="0" applyAlignment="0" applyProtection="0"/>
  </cellStyleXfs>
  <cellXfs count="127">
    <xf numFmtId="0" fontId="0" fillId="0" borderId="0" xfId="0"/>
    <xf numFmtId="0" fontId="3" fillId="0" borderId="0" xfId="0" applyFont="1"/>
    <xf numFmtId="0" fontId="4" fillId="0" borderId="0" xfId="0" applyFont="1"/>
    <xf numFmtId="0" fontId="5" fillId="3" borderId="13" xfId="1" applyBorder="1" applyAlignment="1" applyProtection="1">
      <alignment horizontal="center" vertical="center" wrapText="1"/>
    </xf>
    <xf numFmtId="0" fontId="5" fillId="3" borderId="14" xfId="1" applyBorder="1" applyAlignment="1" applyProtection="1">
      <alignment horizontal="center" vertical="center" wrapText="1"/>
    </xf>
    <xf numFmtId="0" fontId="5" fillId="3" borderId="2" xfId="1" applyBorder="1" applyAlignment="1" applyProtection="1">
      <alignment horizontal="center" vertical="center" wrapText="1"/>
    </xf>
    <xf numFmtId="0" fontId="6" fillId="0" borderId="0" xfId="2"/>
    <xf numFmtId="0" fontId="5" fillId="3" borderId="2" xfId="1" applyBorder="1" applyAlignment="1" applyProtection="1">
      <alignment horizontal="center" vertical="center"/>
    </xf>
    <xf numFmtId="164" fontId="3" fillId="2" borderId="4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64" fontId="3" fillId="2" borderId="6" xfId="0" applyNumberFormat="1" applyFont="1" applyFill="1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8" fillId="0" borderId="0" xfId="0" applyFont="1"/>
    <xf numFmtId="0" fontId="0" fillId="0" borderId="3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10" fillId="0" borderId="0" xfId="2" applyFont="1"/>
    <xf numFmtId="0" fontId="3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8" fillId="0" borderId="0" xfId="2" applyFont="1" applyAlignment="1">
      <alignment horizontal="right" vertical="center"/>
    </xf>
    <xf numFmtId="0" fontId="12" fillId="0" borderId="15" xfId="2" applyFont="1" applyBorder="1" applyAlignment="1">
      <alignment horizontal="left" vertical="center"/>
    </xf>
    <xf numFmtId="0" fontId="13" fillId="0" borderId="0" xfId="2" applyFont="1" applyAlignment="1">
      <alignment horizontal="right" vertical="center"/>
    </xf>
    <xf numFmtId="0" fontId="3" fillId="0" borderId="0" xfId="2" applyFont="1" applyAlignment="1">
      <alignment horizontal="center" vertical="center"/>
    </xf>
    <xf numFmtId="0" fontId="8" fillId="0" borderId="0" xfId="2" applyFont="1" applyAlignment="1">
      <alignment horizontal="left" vertical="center"/>
    </xf>
    <xf numFmtId="0" fontId="3" fillId="0" borderId="17" xfId="2" applyFont="1" applyBorder="1" applyAlignment="1">
      <alignment vertical="center" wrapText="1"/>
    </xf>
    <xf numFmtId="0" fontId="16" fillId="0" borderId="0" xfId="2" applyFont="1"/>
    <xf numFmtId="0" fontId="13" fillId="0" borderId="0" xfId="2" applyFont="1" applyAlignment="1">
      <alignment vertical="center" wrapText="1"/>
    </xf>
    <xf numFmtId="0" fontId="18" fillId="0" borderId="0" xfId="2" applyFont="1" applyAlignment="1">
      <alignment horizontal="center" vertical="center"/>
    </xf>
    <xf numFmtId="0" fontId="12" fillId="0" borderId="0" xfId="2" applyFont="1" applyAlignment="1">
      <alignment horizontal="left" vertical="center"/>
    </xf>
    <xf numFmtId="0" fontId="12" fillId="0" borderId="34" xfId="2" applyFont="1" applyBorder="1" applyAlignment="1">
      <alignment horizontal="left" vertical="center"/>
    </xf>
    <xf numFmtId="0" fontId="3" fillId="0" borderId="15" xfId="2" applyFont="1" applyBorder="1" applyAlignment="1">
      <alignment vertical="center"/>
    </xf>
    <xf numFmtId="0" fontId="12" fillId="0" borderId="16" xfId="2" applyFont="1" applyBorder="1" applyAlignment="1">
      <alignment horizontal="left" vertical="center"/>
    </xf>
    <xf numFmtId="0" fontId="8" fillId="0" borderId="16" xfId="2" applyFont="1" applyBorder="1" applyAlignment="1">
      <alignment vertical="center"/>
    </xf>
    <xf numFmtId="0" fontId="3" fillId="0" borderId="16" xfId="2" applyFont="1" applyBorder="1" applyAlignment="1">
      <alignment vertical="center"/>
    </xf>
    <xf numFmtId="0" fontId="12" fillId="0" borderId="35" xfId="2" applyFont="1" applyBorder="1" applyAlignment="1">
      <alignment vertical="center"/>
    </xf>
    <xf numFmtId="0" fontId="13" fillId="0" borderId="35" xfId="2" applyFont="1" applyBorder="1" applyAlignment="1">
      <alignment horizontal="right" vertical="center"/>
    </xf>
    <xf numFmtId="0" fontId="8" fillId="0" borderId="35" xfId="2" applyFont="1" applyBorder="1" applyAlignment="1">
      <alignment vertical="center"/>
    </xf>
    <xf numFmtId="0" fontId="12" fillId="0" borderId="34" xfId="2" applyFont="1" applyBorder="1" applyAlignment="1">
      <alignment vertical="center"/>
    </xf>
    <xf numFmtId="0" fontId="12" fillId="0" borderId="35" xfId="2" applyFont="1" applyBorder="1" applyAlignment="1">
      <alignment horizontal="left" vertical="center"/>
    </xf>
    <xf numFmtId="0" fontId="8" fillId="0" borderId="0" xfId="2" applyFont="1" applyAlignment="1">
      <alignment horizontal="left" vertical="center" indent="1"/>
    </xf>
    <xf numFmtId="0" fontId="17" fillId="0" borderId="0" xfId="2" applyFont="1" applyAlignment="1">
      <alignment vertical="center"/>
    </xf>
    <xf numFmtId="0" fontId="11" fillId="0" borderId="19" xfId="2" applyFont="1" applyBorder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6" fillId="5" borderId="0" xfId="2" applyFill="1"/>
    <xf numFmtId="0" fontId="6" fillId="6" borderId="0" xfId="2" applyFill="1"/>
    <xf numFmtId="0" fontId="6" fillId="7" borderId="0" xfId="2" applyFill="1"/>
    <xf numFmtId="0" fontId="6" fillId="8" borderId="0" xfId="2" applyFill="1"/>
    <xf numFmtId="0" fontId="20" fillId="4" borderId="36" xfId="3" applyProtection="1"/>
    <xf numFmtId="0" fontId="21" fillId="0" borderId="0" xfId="2" applyFont="1" applyAlignment="1">
      <alignment vertical="center"/>
    </xf>
    <xf numFmtId="164" fontId="18" fillId="0" borderId="0" xfId="2" applyNumberFormat="1" applyFont="1" applyAlignment="1">
      <alignment horizontal="center" vertical="center"/>
    </xf>
    <xf numFmtId="164" fontId="8" fillId="0" borderId="2" xfId="2" applyNumberFormat="1" applyFont="1" applyBorder="1" applyAlignment="1">
      <alignment horizontal="center" vertical="center"/>
    </xf>
    <xf numFmtId="0" fontId="17" fillId="0" borderId="0" xfId="2" applyFont="1" applyAlignment="1">
      <alignment horizontal="right" vertical="center" textRotation="90"/>
    </xf>
    <xf numFmtId="0" fontId="11" fillId="9" borderId="21" xfId="2" applyFont="1" applyFill="1" applyBorder="1" applyAlignment="1">
      <alignment horizontal="center" vertical="center" textRotation="90" wrapText="1"/>
    </xf>
    <xf numFmtId="0" fontId="19" fillId="9" borderId="25" xfId="2" applyFont="1" applyFill="1" applyBorder="1" applyAlignment="1">
      <alignment horizontal="left" vertical="center" wrapText="1"/>
    </xf>
    <xf numFmtId="0" fontId="19" fillId="9" borderId="32" xfId="2" applyFont="1" applyFill="1" applyBorder="1" applyAlignment="1">
      <alignment horizontal="left" vertical="center" wrapText="1"/>
    </xf>
    <xf numFmtId="0" fontId="19" fillId="9" borderId="38" xfId="2" applyFont="1" applyFill="1" applyBorder="1" applyAlignment="1">
      <alignment horizontal="left" vertical="center" wrapText="1"/>
    </xf>
    <xf numFmtId="164" fontId="8" fillId="0" borderId="27" xfId="2" applyNumberFormat="1" applyFont="1" applyBorder="1" applyAlignment="1" applyProtection="1">
      <alignment horizontal="center" vertical="center"/>
      <protection locked="0"/>
    </xf>
    <xf numFmtId="164" fontId="8" fillId="0" borderId="25" xfId="2" applyNumberFormat="1" applyFont="1" applyBorder="1" applyAlignment="1" applyProtection="1">
      <alignment horizontal="center" vertical="center"/>
      <protection locked="0"/>
    </xf>
    <xf numFmtId="164" fontId="16" fillId="0" borderId="0" xfId="2" applyNumberFormat="1" applyFont="1"/>
    <xf numFmtId="0" fontId="19" fillId="0" borderId="42" xfId="2" applyFont="1" applyBorder="1" applyAlignment="1">
      <alignment horizontal="center" vertical="center"/>
    </xf>
    <xf numFmtId="164" fontId="15" fillId="0" borderId="43" xfId="2" applyNumberFormat="1" applyFont="1" applyBorder="1" applyAlignment="1" applyProtection="1">
      <alignment horizontal="center" vertical="center" wrapText="1"/>
      <protection locked="0"/>
    </xf>
    <xf numFmtId="164" fontId="15" fillId="0" borderId="44" xfId="2" applyNumberFormat="1" applyFont="1" applyBorder="1" applyAlignment="1" applyProtection="1">
      <alignment horizontal="center" vertical="center" wrapText="1"/>
      <protection locked="0"/>
    </xf>
    <xf numFmtId="0" fontId="1" fillId="12" borderId="45" xfId="0" applyFont="1" applyFill="1" applyBorder="1"/>
    <xf numFmtId="0" fontId="1" fillId="11" borderId="45" xfId="0" applyFont="1" applyFill="1" applyBorder="1"/>
    <xf numFmtId="0" fontId="22" fillId="10" borderId="0" xfId="0" applyFont="1" applyFill="1"/>
    <xf numFmtId="0" fontId="1" fillId="11" borderId="46" xfId="0" applyFont="1" applyFill="1" applyBorder="1"/>
    <xf numFmtId="0" fontId="14" fillId="14" borderId="28" xfId="2" applyFont="1" applyFill="1" applyBorder="1" applyAlignment="1" applyProtection="1">
      <alignment horizontal="center" vertical="center" wrapText="1"/>
      <protection locked="0"/>
    </xf>
    <xf numFmtId="0" fontId="3" fillId="14" borderId="33" xfId="2" applyFont="1" applyFill="1" applyBorder="1" applyAlignment="1" applyProtection="1">
      <alignment vertical="center" wrapText="1"/>
      <protection locked="0"/>
    </xf>
    <xf numFmtId="164" fontId="8" fillId="14" borderId="27" xfId="2" applyNumberFormat="1" applyFont="1" applyFill="1" applyBorder="1" applyAlignment="1" applyProtection="1">
      <alignment horizontal="center" vertical="center" wrapText="1"/>
      <protection locked="0"/>
    </xf>
    <xf numFmtId="0" fontId="14" fillId="14" borderId="24" xfId="2" applyFont="1" applyFill="1" applyBorder="1" applyAlignment="1" applyProtection="1">
      <alignment horizontal="center" vertical="center" wrapText="1"/>
      <protection locked="0"/>
    </xf>
    <xf numFmtId="0" fontId="3" fillId="14" borderId="23" xfId="2" applyFont="1" applyFill="1" applyBorder="1" applyAlignment="1" applyProtection="1">
      <alignment vertical="center" wrapText="1"/>
      <protection locked="0"/>
    </xf>
    <xf numFmtId="164" fontId="8" fillId="14" borderId="18" xfId="2" applyNumberFormat="1" applyFont="1" applyFill="1" applyBorder="1" applyAlignment="1" applyProtection="1">
      <alignment horizontal="center" vertical="center" wrapText="1"/>
      <protection locked="0"/>
    </xf>
    <xf numFmtId="0" fontId="14" fillId="15" borderId="28" xfId="2" applyFont="1" applyFill="1" applyBorder="1" applyAlignment="1" applyProtection="1">
      <alignment horizontal="center" vertical="center" wrapText="1"/>
      <protection locked="0"/>
    </xf>
    <xf numFmtId="0" fontId="15" fillId="15" borderId="33" xfId="2" applyFont="1" applyFill="1" applyBorder="1" applyAlignment="1" applyProtection="1">
      <alignment vertical="center" wrapText="1"/>
      <protection locked="0"/>
    </xf>
    <xf numFmtId="164" fontId="13" fillId="15" borderId="27" xfId="2" applyNumberFormat="1" applyFont="1" applyFill="1" applyBorder="1" applyAlignment="1" applyProtection="1">
      <alignment horizontal="center" vertical="center" wrapText="1"/>
      <protection locked="0"/>
    </xf>
    <xf numFmtId="0" fontId="14" fillId="15" borderId="24" xfId="2" applyFont="1" applyFill="1" applyBorder="1" applyAlignment="1" applyProtection="1">
      <alignment horizontal="center" vertical="center" wrapText="1"/>
      <protection locked="0"/>
    </xf>
    <xf numFmtId="0" fontId="15" fillId="15" borderId="23" xfId="2" applyFont="1" applyFill="1" applyBorder="1" applyAlignment="1" applyProtection="1">
      <alignment vertical="center" wrapText="1"/>
      <protection locked="0"/>
    </xf>
    <xf numFmtId="164" fontId="13" fillId="15" borderId="18" xfId="2" applyNumberFormat="1" applyFont="1" applyFill="1" applyBorder="1" applyAlignment="1" applyProtection="1">
      <alignment horizontal="center" vertical="center" wrapText="1"/>
      <protection locked="0"/>
    </xf>
    <xf numFmtId="0" fontId="14" fillId="13" borderId="28" xfId="2" applyFont="1" applyFill="1" applyBorder="1" applyAlignment="1" applyProtection="1">
      <alignment horizontal="center" vertical="center" wrapText="1"/>
      <protection locked="0"/>
    </xf>
    <xf numFmtId="0" fontId="15" fillId="13" borderId="33" xfId="2" applyFont="1" applyFill="1" applyBorder="1" applyAlignment="1" applyProtection="1">
      <alignment vertical="center" wrapText="1"/>
      <protection locked="0"/>
    </xf>
    <xf numFmtId="164" fontId="8" fillId="13" borderId="27" xfId="2" applyNumberFormat="1" applyFont="1" applyFill="1" applyBorder="1" applyAlignment="1" applyProtection="1">
      <alignment horizontal="center" vertical="center"/>
      <protection locked="0"/>
    </xf>
    <xf numFmtId="0" fontId="14" fillId="13" borderId="24" xfId="2" applyFont="1" applyFill="1" applyBorder="1" applyAlignment="1" applyProtection="1">
      <alignment horizontal="center" vertical="center" wrapText="1"/>
      <protection locked="0"/>
    </xf>
    <xf numFmtId="0" fontId="15" fillId="13" borderId="23" xfId="2" applyFont="1" applyFill="1" applyBorder="1" applyAlignment="1" applyProtection="1">
      <alignment vertical="center" wrapText="1"/>
      <protection locked="0"/>
    </xf>
    <xf numFmtId="164" fontId="8" fillId="13" borderId="18" xfId="2" applyNumberFormat="1" applyFont="1" applyFill="1" applyBorder="1" applyAlignment="1" applyProtection="1">
      <alignment horizontal="center" vertical="center"/>
      <protection locked="0"/>
    </xf>
    <xf numFmtId="0" fontId="14" fillId="16" borderId="28" xfId="2" applyFont="1" applyFill="1" applyBorder="1" applyAlignment="1" applyProtection="1">
      <alignment horizontal="center" vertical="center" wrapText="1"/>
      <protection locked="0"/>
    </xf>
    <xf numFmtId="0" fontId="15" fillId="16" borderId="33" xfId="2" applyFont="1" applyFill="1" applyBorder="1" applyAlignment="1" applyProtection="1">
      <alignment horizontal="left" vertical="center" wrapText="1"/>
      <protection locked="0"/>
    </xf>
    <xf numFmtId="164" fontId="13" fillId="16" borderId="27" xfId="2" applyNumberFormat="1" applyFont="1" applyFill="1" applyBorder="1" applyAlignment="1" applyProtection="1">
      <alignment horizontal="center" vertical="center" wrapText="1"/>
      <protection locked="0"/>
    </xf>
    <xf numFmtId="0" fontId="14" fillId="16" borderId="24" xfId="2" applyFont="1" applyFill="1" applyBorder="1" applyAlignment="1" applyProtection="1">
      <alignment horizontal="center" vertical="center" wrapText="1"/>
      <protection locked="0"/>
    </xf>
    <xf numFmtId="0" fontId="15" fillId="16" borderId="23" xfId="2" applyFont="1" applyFill="1" applyBorder="1" applyAlignment="1" applyProtection="1">
      <alignment horizontal="left" vertical="center" wrapText="1"/>
      <protection locked="0"/>
    </xf>
    <xf numFmtId="164" fontId="13" fillId="16" borderId="18" xfId="2" applyNumberFormat="1" applyFont="1" applyFill="1" applyBorder="1" applyAlignment="1" applyProtection="1">
      <alignment horizontal="center" vertical="center" wrapText="1"/>
      <protection locked="0"/>
    </xf>
    <xf numFmtId="0" fontId="17" fillId="0" borderId="0" xfId="2" applyFont="1" applyAlignment="1">
      <alignment horizontal="right" vertical="center" textRotation="90"/>
    </xf>
    <xf numFmtId="0" fontId="8" fillId="0" borderId="0" xfId="2" applyFont="1" applyAlignment="1">
      <alignment horizontal="right" vertical="center"/>
    </xf>
    <xf numFmtId="0" fontId="8" fillId="0" borderId="0" xfId="2" applyFont="1" applyAlignment="1">
      <alignment horizontal="right" vertical="center" wrapText="1"/>
    </xf>
    <xf numFmtId="0" fontId="3" fillId="0" borderId="15" xfId="2" applyFont="1" applyBorder="1" applyAlignment="1" applyProtection="1">
      <alignment horizontal="left" vertical="center"/>
      <protection locked="0"/>
    </xf>
    <xf numFmtId="14" fontId="3" fillId="0" borderId="15" xfId="2" applyNumberFormat="1" applyFont="1" applyBorder="1" applyAlignment="1" applyProtection="1">
      <alignment horizontal="left" vertical="center"/>
      <protection locked="0"/>
    </xf>
    <xf numFmtId="0" fontId="19" fillId="14" borderId="20" xfId="2" applyFont="1" applyFill="1" applyBorder="1" applyAlignment="1">
      <alignment horizontal="center" vertical="center" wrapText="1"/>
    </xf>
    <xf numFmtId="0" fontId="19" fillId="14" borderId="20" xfId="2" applyFont="1" applyFill="1" applyBorder="1" applyAlignment="1">
      <alignment horizontal="center" vertical="center"/>
    </xf>
    <xf numFmtId="0" fontId="19" fillId="15" borderId="20" xfId="2" applyFont="1" applyFill="1" applyBorder="1" applyAlignment="1">
      <alignment horizontal="center" vertical="center" wrapText="1"/>
    </xf>
    <xf numFmtId="0" fontId="19" fillId="15" borderId="20" xfId="2" applyFont="1" applyFill="1" applyBorder="1" applyAlignment="1">
      <alignment horizontal="center" vertical="center"/>
    </xf>
    <xf numFmtId="0" fontId="19" fillId="13" borderId="20" xfId="2" applyFont="1" applyFill="1" applyBorder="1" applyAlignment="1">
      <alignment horizontal="center" vertical="center" wrapText="1"/>
    </xf>
    <xf numFmtId="0" fontId="19" fillId="13" borderId="20" xfId="2" applyFont="1" applyFill="1" applyBorder="1" applyAlignment="1">
      <alignment horizontal="center" vertical="center"/>
    </xf>
    <xf numFmtId="0" fontId="19" fillId="16" borderId="20" xfId="2" applyFont="1" applyFill="1" applyBorder="1" applyAlignment="1">
      <alignment horizontal="center" vertical="center" wrapText="1"/>
    </xf>
    <xf numFmtId="0" fontId="19" fillId="16" borderId="20" xfId="2" applyFont="1" applyFill="1" applyBorder="1" applyAlignment="1">
      <alignment horizontal="center" vertical="center"/>
    </xf>
    <xf numFmtId="0" fontId="8" fillId="0" borderId="31" xfId="2" applyFont="1" applyBorder="1" applyAlignment="1">
      <alignment horizontal="center" vertical="center" textRotation="90"/>
    </xf>
    <xf numFmtId="0" fontId="8" fillId="0" borderId="26" xfId="2" applyFont="1" applyBorder="1" applyAlignment="1">
      <alignment horizontal="center" vertical="center" textRotation="90"/>
    </xf>
    <xf numFmtId="0" fontId="8" fillId="0" borderId="22" xfId="2" applyFont="1" applyBorder="1" applyAlignment="1">
      <alignment horizontal="center" vertical="center" textRotation="90"/>
    </xf>
    <xf numFmtId="0" fontId="11" fillId="0" borderId="30" xfId="2" applyFont="1" applyBorder="1" applyAlignment="1">
      <alignment horizontal="center" vertical="center" textRotation="90" wrapText="1"/>
    </xf>
    <xf numFmtId="0" fontId="11" fillId="0" borderId="37" xfId="2" applyFont="1" applyBorder="1" applyAlignment="1">
      <alignment horizontal="center" vertical="center" textRotation="90" wrapText="1"/>
    </xf>
    <xf numFmtId="0" fontId="11" fillId="0" borderId="29" xfId="2" applyFont="1" applyBorder="1" applyAlignment="1">
      <alignment horizontal="center" vertical="center" textRotation="90" wrapText="1"/>
    </xf>
    <xf numFmtId="0" fontId="11" fillId="0" borderId="39" xfId="2" applyFont="1" applyBorder="1" applyAlignment="1">
      <alignment horizontal="center" vertical="center" textRotation="90" wrapText="1"/>
    </xf>
    <xf numFmtId="0" fontId="11" fillId="0" borderId="40" xfId="2" applyFont="1" applyBorder="1" applyAlignment="1">
      <alignment horizontal="center" vertical="center" textRotation="90" wrapText="1"/>
    </xf>
    <xf numFmtId="0" fontId="11" fillId="0" borderId="41" xfId="2" applyFont="1" applyBorder="1" applyAlignment="1">
      <alignment horizontal="center" vertical="center" textRotation="90" wrapText="1"/>
    </xf>
    <xf numFmtId="0" fontId="7" fillId="0" borderId="0" xfId="2" applyFont="1" applyAlignment="1">
      <alignment horizontal="left" wrapText="1"/>
    </xf>
    <xf numFmtId="0" fontId="0" fillId="0" borderId="16" xfId="2" applyFont="1" applyBorder="1" applyAlignment="1" applyProtection="1">
      <alignment horizontal="left" vertical="center"/>
      <protection locked="0"/>
    </xf>
    <xf numFmtId="0" fontId="3" fillId="0" borderId="16" xfId="2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 vertical="center" wrapText="1"/>
    </xf>
    <xf numFmtId="0" fontId="0" fillId="0" borderId="16" xfId="2" applyFont="1" applyBorder="1" applyAlignment="1" applyProtection="1">
      <alignment horizontal="left" vertical="center" wrapText="1"/>
      <protection locked="0"/>
    </xf>
  </cellXfs>
  <cellStyles count="4">
    <cellStyle name="Accent1" xfId="1" builtinId="29"/>
    <cellStyle name="Calcul" xfId="3" builtinId="22"/>
    <cellStyle name="Normal" xfId="0" builtinId="0" customBuiltin="1"/>
    <cellStyle name="Normal 2" xfId="2" xr:uid="{00000000-0005-0000-0000-000004000000}"/>
  </cellStyles>
  <dxfs count="36">
    <dxf>
      <fill>
        <patternFill patternType="mediumGray"/>
      </fill>
    </dxf>
    <dxf>
      <font>
        <color auto="1"/>
      </font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ill>
        <patternFill patternType="mediumGray"/>
      </fill>
    </dxf>
    <dxf>
      <font>
        <b/>
        <i val="0"/>
        <color rgb="FFFF0000"/>
      </font>
    </dxf>
    <dxf>
      <font>
        <b/>
        <i val="0"/>
        <color auto="1"/>
      </font>
      <fill>
        <patternFill>
          <fgColor auto="1"/>
          <bgColor theme="5"/>
        </patternFill>
      </fill>
    </dxf>
    <dxf>
      <font>
        <b/>
        <i val="0"/>
        <color auto="1"/>
      </font>
      <fill>
        <patternFill>
          <bgColor theme="7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</font>
      <fill>
        <patternFill>
          <bgColor theme="9"/>
        </patternFill>
      </fill>
    </dxf>
    <dxf>
      <fill>
        <patternFill patternType="mediumGray"/>
      </fill>
    </dxf>
    <dxf>
      <font>
        <color auto="1"/>
      </font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ill>
        <patternFill patternType="mediumGray"/>
      </fill>
    </dxf>
    <dxf>
      <font>
        <b/>
        <i val="0"/>
        <color rgb="FFFF0000"/>
      </font>
    </dxf>
    <dxf>
      <font>
        <b/>
        <i val="0"/>
        <color auto="1"/>
      </font>
      <fill>
        <patternFill>
          <fgColor auto="1"/>
          <bgColor theme="5"/>
        </patternFill>
      </fill>
    </dxf>
    <dxf>
      <font>
        <b/>
        <i val="0"/>
        <color auto="1"/>
      </font>
      <fill>
        <patternFill>
          <bgColor theme="7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</font>
      <fill>
        <patternFill>
          <bgColor theme="9"/>
        </patternFill>
      </fill>
    </dxf>
    <dxf>
      <fill>
        <patternFill patternType="mediumGray"/>
      </fill>
    </dxf>
    <dxf>
      <font>
        <color auto="1"/>
      </font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ill>
        <patternFill patternType="mediumGray"/>
      </fill>
    </dxf>
    <dxf>
      <font>
        <b/>
        <i val="0"/>
        <color rgb="FFFF0000"/>
      </font>
    </dxf>
    <dxf>
      <font>
        <b/>
        <i val="0"/>
      </font>
      <fill>
        <patternFill>
          <bgColor theme="9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  <color auto="1"/>
      </font>
      <fill>
        <patternFill>
          <fgColor auto="1"/>
          <bgColor theme="5"/>
        </patternFill>
      </fill>
    </dxf>
    <dxf>
      <font>
        <b/>
        <i val="0"/>
        <color auto="1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2</xdr:row>
      <xdr:rowOff>60961</xdr:rowOff>
    </xdr:from>
    <xdr:to>
      <xdr:col>2</xdr:col>
      <xdr:colOff>426720</xdr:colOff>
      <xdr:row>3</xdr:row>
      <xdr:rowOff>196591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792481"/>
          <a:ext cx="1554480" cy="3870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2438400</xdr:colOff>
      <xdr:row>17</xdr:row>
      <xdr:rowOff>68580</xdr:rowOff>
    </xdr:from>
    <xdr:to>
      <xdr:col>4</xdr:col>
      <xdr:colOff>815340</xdr:colOff>
      <xdr:row>25</xdr:row>
      <xdr:rowOff>1021080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145280" y="3086100"/>
          <a:ext cx="2065020" cy="2354580"/>
        </a:xfrm>
        <a:prstGeom prst="rect">
          <a:avLst/>
        </a:prstGeom>
        <a:solidFill>
          <a:schemeClr val="accent1">
            <a:alpha val="24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236220</xdr:colOff>
          <xdr:row>18</xdr:row>
          <xdr:rowOff>15240</xdr:rowOff>
        </xdr:from>
        <xdr:to>
          <xdr:col>2</xdr:col>
          <xdr:colOff>2118360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entury Gothic"/>
                </a:rPr>
                <a:t>Créer onglets élèves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21</xdr:row>
          <xdr:rowOff>45720</xdr:rowOff>
        </xdr:from>
        <xdr:to>
          <xdr:col>2</xdr:col>
          <xdr:colOff>2110740</xdr:colOff>
          <xdr:row>24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entury Gothic"/>
                </a:rPr>
                <a:t>Rappatrier les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21</xdr:row>
          <xdr:rowOff>53340</xdr:rowOff>
        </xdr:from>
        <xdr:to>
          <xdr:col>5</xdr:col>
          <xdr:colOff>2110740</xdr:colOff>
          <xdr:row>24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entury Gothic"/>
                </a:rPr>
                <a:t>Verrouiller/déverouiller onglets élèves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167640</xdr:rowOff>
        </xdr:from>
        <xdr:to>
          <xdr:col>4</xdr:col>
          <xdr:colOff>678180</xdr:colOff>
          <xdr:row>20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entury Gothic"/>
                </a:rPr>
                <a:t>Exporter onglets élèves en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53340</xdr:rowOff>
        </xdr:from>
        <xdr:to>
          <xdr:col>4</xdr:col>
          <xdr:colOff>670560</xdr:colOff>
          <xdr:row>24</xdr:row>
          <xdr:rowOff>60960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entury Gothic"/>
                </a:rPr>
                <a:t>Exporter onglets élèves en xlsx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2</xdr:row>
      <xdr:rowOff>60961</xdr:rowOff>
    </xdr:from>
    <xdr:to>
      <xdr:col>2</xdr:col>
      <xdr:colOff>426720</xdr:colOff>
      <xdr:row>3</xdr:row>
      <xdr:rowOff>196591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93421"/>
          <a:ext cx="1554480" cy="3870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129540</xdr:colOff>
      <xdr:row>2</xdr:row>
      <xdr:rowOff>60961</xdr:rowOff>
    </xdr:from>
    <xdr:to>
      <xdr:col>2</xdr:col>
      <xdr:colOff>426720</xdr:colOff>
      <xdr:row>3</xdr:row>
      <xdr:rowOff>196591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93421"/>
          <a:ext cx="1554480" cy="3870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U33"/>
  <sheetViews>
    <sheetView showGridLines="0" topLeftCell="A7" zoomScale="70" zoomScaleNormal="70" workbookViewId="0">
      <selection activeCell="C10" sqref="C10"/>
    </sheetView>
  </sheetViews>
  <sheetFormatPr defaultColWidth="11.25" defaultRowHeight="13.15" zeroHeight="1"/>
  <cols>
    <col min="1" max="1" width="6.875" style="6" customWidth="1"/>
    <col min="2" max="2" width="9.625" style="6" customWidth="1"/>
    <col min="3" max="3" width="43.375" style="6" customWidth="1"/>
    <col min="4" max="4" width="6.75" style="6" customWidth="1"/>
    <col min="5" max="5" width="13.75" style="6" customWidth="1"/>
    <col min="6" max="7" width="6.75" style="6" customWidth="1"/>
    <col min="8" max="8" width="13.75" style="6" customWidth="1"/>
    <col min="9" max="10" width="6.75" style="6" customWidth="1"/>
    <col min="11" max="11" width="13.75" style="6" customWidth="1"/>
    <col min="12" max="13" width="6.75" style="6" customWidth="1"/>
    <col min="14" max="14" width="13.75" style="6" customWidth="1"/>
    <col min="15" max="16" width="6.75" style="6" customWidth="1"/>
    <col min="17" max="17" width="9.75" style="6" bestFit="1" customWidth="1"/>
    <col min="18" max="18" width="11.25" style="6"/>
    <col min="19" max="19" width="22.25" style="6" hidden="1" customWidth="1"/>
    <col min="20" max="20" width="11.25" style="6" hidden="1" customWidth="1"/>
    <col min="21" max="21" width="9.25" style="6" bestFit="1" customWidth="1"/>
    <col min="22" max="16384" width="11.25" style="6"/>
  </cols>
  <sheetData>
    <row r="1" spans="1:21" s="25" customFormat="1" ht="30" customHeight="1" thickBot="1">
      <c r="A1" s="52" t="s">
        <v>0</v>
      </c>
      <c r="Q1" s="58"/>
      <c r="S1" s="74" t="s">
        <v>1</v>
      </c>
      <c r="T1" s="74" t="s">
        <v>2</v>
      </c>
    </row>
    <row r="2" spans="1:21" s="26" customFormat="1" ht="19.899999999999999" customHeight="1" thickTop="1">
      <c r="A2" s="49" t="s">
        <v>3</v>
      </c>
      <c r="D2" s="29" t="s">
        <v>4</v>
      </c>
      <c r="E2" s="30" t="s">
        <v>5</v>
      </c>
      <c r="F2" s="40"/>
      <c r="G2" s="40"/>
      <c r="H2" s="38"/>
      <c r="I2" s="29" t="s">
        <v>6</v>
      </c>
      <c r="J2" s="30" t="str">
        <f>Automation!F10</f>
        <v>p_onboarding</v>
      </c>
      <c r="K2" s="40"/>
      <c r="L2" s="40"/>
      <c r="M2" s="40"/>
      <c r="N2" s="38"/>
      <c r="O2" s="38"/>
      <c r="P2" s="38"/>
      <c r="Q2" s="38"/>
      <c r="S2" s="75" t="s">
        <v>7</v>
      </c>
      <c r="T2" s="75" t="b">
        <v>1</v>
      </c>
    </row>
    <row r="3" spans="1:21" s="26" customFormat="1" ht="19.899999999999999" customHeight="1">
      <c r="A3" s="32"/>
      <c r="B3" s="33"/>
      <c r="D3" s="31" t="s">
        <v>8</v>
      </c>
      <c r="E3" s="41" t="str">
        <f>Automation!F8</f>
        <v>cin1c</v>
      </c>
      <c r="F3" s="43"/>
      <c r="G3" s="43"/>
      <c r="H3" s="38"/>
      <c r="I3" s="31" t="s">
        <v>9</v>
      </c>
      <c r="J3" s="41">
        <f>Automation!F11</f>
        <v>8</v>
      </c>
      <c r="K3" s="42"/>
      <c r="L3" s="43"/>
      <c r="M3" s="43"/>
      <c r="N3" s="38"/>
      <c r="O3" s="38"/>
      <c r="P3" s="38"/>
      <c r="Q3" s="38"/>
      <c r="S3" s="72" t="s">
        <v>10</v>
      </c>
      <c r="T3" s="72" t="b">
        <v>0</v>
      </c>
    </row>
    <row r="4" spans="1:21" s="27" customFormat="1" ht="19.899999999999999" customHeight="1" thickBot="1">
      <c r="A4" s="32"/>
      <c r="B4" s="33"/>
      <c r="D4" s="29" t="s">
        <v>11</v>
      </c>
      <c r="E4" s="48" t="str">
        <f>Automation!F9</f>
        <v>ggz</v>
      </c>
      <c r="F4" s="46"/>
      <c r="G4" s="46"/>
      <c r="H4" s="39"/>
      <c r="I4" s="31" t="s">
        <v>12</v>
      </c>
      <c r="J4" s="44" t="str">
        <f>Automation!F12</f>
        <v>10.11.22 - 12.01.23</v>
      </c>
      <c r="K4" s="45"/>
      <c r="L4" s="46"/>
      <c r="M4" s="46"/>
      <c r="N4" s="47"/>
      <c r="O4" s="47"/>
      <c r="P4" s="47"/>
      <c r="Q4" s="47"/>
      <c r="S4" s="73" t="s">
        <v>13</v>
      </c>
      <c r="T4"/>
      <c r="U4"/>
    </row>
    <row r="5" spans="1:21" s="26" customFormat="1" ht="25.15" customHeight="1" thickTop="1" thickBot="1">
      <c r="C5" s="34"/>
      <c r="D5" s="105" t="s">
        <v>14</v>
      </c>
      <c r="E5" s="106"/>
      <c r="F5" s="106"/>
      <c r="G5" s="107" t="s">
        <v>15</v>
      </c>
      <c r="H5" s="108"/>
      <c r="I5" s="108"/>
      <c r="J5" s="109" t="s">
        <v>16</v>
      </c>
      <c r="K5" s="110"/>
      <c r="L5" s="110"/>
      <c r="M5" s="111" t="s">
        <v>17</v>
      </c>
      <c r="N5" s="112"/>
      <c r="O5" s="112"/>
      <c r="P5" s="69" t="s">
        <v>2</v>
      </c>
      <c r="Q5" s="51" t="s">
        <v>18</v>
      </c>
      <c r="S5" s="72" t="s">
        <v>19</v>
      </c>
      <c r="T5"/>
      <c r="U5"/>
    </row>
    <row r="6" spans="1:21" s="35" customFormat="1" ht="75" customHeight="1" thickTop="1">
      <c r="A6" s="113" t="s">
        <v>20</v>
      </c>
      <c r="B6" s="116" t="s">
        <v>21</v>
      </c>
      <c r="C6" s="65" t="s">
        <v>22</v>
      </c>
      <c r="D6" s="76" t="s">
        <v>23</v>
      </c>
      <c r="E6" s="77" t="s">
        <v>24</v>
      </c>
      <c r="F6" s="78"/>
      <c r="G6" s="82" t="s">
        <v>23</v>
      </c>
      <c r="H6" s="83" t="s">
        <v>25</v>
      </c>
      <c r="I6" s="84"/>
      <c r="J6" s="88" t="s">
        <v>23</v>
      </c>
      <c r="K6" s="89" t="s">
        <v>26</v>
      </c>
      <c r="L6" s="90"/>
      <c r="M6" s="94" t="s">
        <v>23</v>
      </c>
      <c r="N6" s="95" t="s">
        <v>27</v>
      </c>
      <c r="O6" s="96"/>
      <c r="P6" s="70" t="b">
        <v>0</v>
      </c>
      <c r="Q6" s="66" t="str" cm="1">
        <f t="array" ref="Q6">IF(P6=cst_ignore_VRAI,cst_ignore,IF(COUNTA(F6,I6,L6,O6)&gt;1,cst_ERR,CONCATENATE(F6,I6,L6,O6)))</f>
        <v/>
      </c>
      <c r="S6" s="73" t="s">
        <v>28</v>
      </c>
      <c r="T6"/>
      <c r="U6"/>
    </row>
    <row r="7" spans="1:21" s="35" customFormat="1" ht="75" customHeight="1">
      <c r="A7" s="114"/>
      <c r="B7" s="117"/>
      <c r="C7" s="64" t="s">
        <v>29</v>
      </c>
      <c r="D7" s="76" t="s">
        <v>23</v>
      </c>
      <c r="E7" s="77" t="s">
        <v>24</v>
      </c>
      <c r="F7" s="78"/>
      <c r="G7" s="82" t="s">
        <v>23</v>
      </c>
      <c r="H7" s="83" t="s">
        <v>25</v>
      </c>
      <c r="I7" s="84"/>
      <c r="J7" s="88" t="s">
        <v>23</v>
      </c>
      <c r="K7" s="89" t="s">
        <v>26</v>
      </c>
      <c r="L7" s="90"/>
      <c r="M7" s="94" t="s">
        <v>23</v>
      </c>
      <c r="N7" s="95" t="s">
        <v>27</v>
      </c>
      <c r="O7" s="96"/>
      <c r="P7" s="70" t="b">
        <v>0</v>
      </c>
      <c r="Q7" s="66" t="str" cm="1">
        <f t="array" ref="Q7">IF(P7=cst_ignore_VRAI,cst_ignore,IF(COUNTA(F7,I7,L7,O7)&gt;1,cst_ERR,CONCATENATE(F7,I7,L7,O7)))</f>
        <v/>
      </c>
    </row>
    <row r="8" spans="1:21" s="35" customFormat="1" ht="75" customHeight="1">
      <c r="A8" s="114"/>
      <c r="B8" s="117"/>
      <c r="C8" s="64" t="s">
        <v>30</v>
      </c>
      <c r="D8" s="76" t="s">
        <v>23</v>
      </c>
      <c r="E8" s="77" t="s">
        <v>24</v>
      </c>
      <c r="F8" s="78"/>
      <c r="G8" s="82" t="s">
        <v>23</v>
      </c>
      <c r="H8" s="83" t="s">
        <v>25</v>
      </c>
      <c r="I8" s="84"/>
      <c r="J8" s="88" t="s">
        <v>23</v>
      </c>
      <c r="K8" s="89" t="s">
        <v>26</v>
      </c>
      <c r="L8" s="90"/>
      <c r="M8" s="94" t="s">
        <v>23</v>
      </c>
      <c r="N8" s="95" t="s">
        <v>27</v>
      </c>
      <c r="O8" s="96"/>
      <c r="P8" s="70" t="b">
        <v>0</v>
      </c>
      <c r="Q8" s="66" t="str" cm="1">
        <f t="array" ref="Q8">IF(P8=cst_ignore_VRAI,cst_ignore,IF(COUNTA(F8,I8,L8,O8)&gt;1,cst_ERR,CONCATENATE(F8,I8,L8,O8)))</f>
        <v/>
      </c>
    </row>
    <row r="9" spans="1:21" s="35" customFormat="1" ht="75" customHeight="1">
      <c r="A9" s="114"/>
      <c r="B9" s="118"/>
      <c r="C9" s="64" t="s">
        <v>31</v>
      </c>
      <c r="D9" s="76" t="s">
        <v>23</v>
      </c>
      <c r="E9" s="77" t="s">
        <v>24</v>
      </c>
      <c r="F9" s="78"/>
      <c r="G9" s="82" t="s">
        <v>23</v>
      </c>
      <c r="H9" s="83" t="s">
        <v>25</v>
      </c>
      <c r="I9" s="84"/>
      <c r="J9" s="88" t="s">
        <v>23</v>
      </c>
      <c r="K9" s="89" t="s">
        <v>26</v>
      </c>
      <c r="L9" s="90"/>
      <c r="M9" s="94" t="s">
        <v>23</v>
      </c>
      <c r="N9" s="95" t="s">
        <v>27</v>
      </c>
      <c r="O9" s="96"/>
      <c r="P9" s="70" t="b">
        <v>0</v>
      </c>
      <c r="Q9" s="66" t="str" cm="1">
        <f t="array" ref="Q9">IF(P9=cst_ignore_VRAI,cst_ignore,IF(COUNTA(F9,I9,L9,O9)&gt;1,cst_ERR,CONCATENATE(F9,I9,L9,O9)))</f>
        <v/>
      </c>
    </row>
    <row r="10" spans="1:21" s="35" customFormat="1" ht="75" customHeight="1">
      <c r="A10" s="114"/>
      <c r="B10" s="119" t="s">
        <v>32</v>
      </c>
      <c r="C10" s="64" t="s">
        <v>33</v>
      </c>
      <c r="D10" s="76" t="s">
        <v>23</v>
      </c>
      <c r="E10" s="77" t="s">
        <v>24</v>
      </c>
      <c r="F10" s="78"/>
      <c r="G10" s="82" t="s">
        <v>23</v>
      </c>
      <c r="H10" s="83" t="s">
        <v>25</v>
      </c>
      <c r="I10" s="84"/>
      <c r="J10" s="88" t="s">
        <v>23</v>
      </c>
      <c r="K10" s="89" t="s">
        <v>26</v>
      </c>
      <c r="L10" s="90"/>
      <c r="M10" s="94" t="s">
        <v>23</v>
      </c>
      <c r="N10" s="95" t="s">
        <v>27</v>
      </c>
      <c r="O10" s="96"/>
      <c r="P10" s="70" t="b">
        <v>0</v>
      </c>
      <c r="Q10" s="66" t="str" cm="1">
        <f t="array" ref="Q10">IF(P10=cst_ignore_VRAI,cst_ignore,IF(COUNTA(F10,I10,L10,O10)&gt;1,cst_ERR,CONCATENATE(F10,I10,L10,O10)))</f>
        <v/>
      </c>
    </row>
    <row r="11" spans="1:21" s="35" customFormat="1" ht="75" customHeight="1">
      <c r="A11" s="114"/>
      <c r="B11" s="120"/>
      <c r="C11" s="64" t="s">
        <v>34</v>
      </c>
      <c r="D11" s="76" t="s">
        <v>23</v>
      </c>
      <c r="E11" s="77" t="s">
        <v>24</v>
      </c>
      <c r="F11" s="78"/>
      <c r="G11" s="82" t="s">
        <v>23</v>
      </c>
      <c r="H11" s="83" t="s">
        <v>25</v>
      </c>
      <c r="I11" s="84"/>
      <c r="J11" s="88" t="s">
        <v>23</v>
      </c>
      <c r="K11" s="89" t="s">
        <v>26</v>
      </c>
      <c r="L11" s="90"/>
      <c r="M11" s="94" t="s">
        <v>23</v>
      </c>
      <c r="N11" s="95" t="s">
        <v>27</v>
      </c>
      <c r="O11" s="96"/>
      <c r="P11" s="70" t="b">
        <v>0</v>
      </c>
      <c r="Q11" s="66" t="str" cm="1">
        <f t="array" ref="Q11">IF(P11=cst_ignore_VRAI,cst_ignore,IF(COUNTA(F11,I11,L11,O11)&gt;1,cst_ERR,CONCATENATE(F11,I11,L11,O11)))</f>
        <v/>
      </c>
      <c r="R11" s="68"/>
    </row>
    <row r="12" spans="1:21" s="35" customFormat="1" ht="75" customHeight="1">
      <c r="A12" s="114"/>
      <c r="B12" s="121"/>
      <c r="C12" s="64" t="s">
        <v>35</v>
      </c>
      <c r="D12" s="76" t="s">
        <v>23</v>
      </c>
      <c r="E12" s="77" t="s">
        <v>24</v>
      </c>
      <c r="F12" s="78"/>
      <c r="G12" s="82" t="s">
        <v>23</v>
      </c>
      <c r="H12" s="83" t="s">
        <v>25</v>
      </c>
      <c r="I12" s="84"/>
      <c r="J12" s="88" t="s">
        <v>23</v>
      </c>
      <c r="K12" s="89" t="s">
        <v>26</v>
      </c>
      <c r="L12" s="90"/>
      <c r="M12" s="94" t="s">
        <v>23</v>
      </c>
      <c r="N12" s="95" t="s">
        <v>27</v>
      </c>
      <c r="O12" s="96"/>
      <c r="P12" s="70" t="b">
        <v>0</v>
      </c>
      <c r="Q12" s="66" t="str" cm="1">
        <f t="array" ref="Q12">IF(P12=cst_ignore_VRAI,cst_ignore,IF(COUNTA(F12,I12,L12,O12)&gt;1,cst_ERR,CONCATENATE(F12,I12,L12,O12)))</f>
        <v/>
      </c>
    </row>
    <row r="13" spans="1:21" s="35" customFormat="1" ht="75" customHeight="1" thickBot="1">
      <c r="A13" s="115"/>
      <c r="B13" s="62" t="s">
        <v>36</v>
      </c>
      <c r="C13" s="63" t="s">
        <v>37</v>
      </c>
      <c r="D13" s="79" t="s">
        <v>23</v>
      </c>
      <c r="E13" s="80" t="s">
        <v>24</v>
      </c>
      <c r="F13" s="81"/>
      <c r="G13" s="85" t="s">
        <v>23</v>
      </c>
      <c r="H13" s="86" t="s">
        <v>25</v>
      </c>
      <c r="I13" s="87"/>
      <c r="J13" s="91" t="s">
        <v>23</v>
      </c>
      <c r="K13" s="92" t="s">
        <v>26</v>
      </c>
      <c r="L13" s="93"/>
      <c r="M13" s="97" t="s">
        <v>23</v>
      </c>
      <c r="N13" s="98" t="s">
        <v>27</v>
      </c>
      <c r="O13" s="99"/>
      <c r="P13" s="71" t="b">
        <v>1</v>
      </c>
      <c r="Q13" s="67" t="str" cm="1">
        <f t="array" ref="Q13">IF(P13=cst_ignore_VRAI,cst_ignore,IF(COUNTA(F13,I13,L13,O13)&gt;1,cst_ERR,CONCATENATE(F13,I13,L13,O13)))</f>
        <v>Ignoré</v>
      </c>
    </row>
    <row r="14" spans="1:21" s="26" customFormat="1" ht="25.15" customHeight="1" thickTop="1">
      <c r="A14" s="27" t="s">
        <v>38</v>
      </c>
      <c r="L14" s="27"/>
      <c r="M14" s="27"/>
      <c r="N14" s="36"/>
      <c r="O14" s="100" t="s">
        <v>39</v>
      </c>
      <c r="P14" s="61"/>
      <c r="Q14" s="37"/>
    </row>
    <row r="15" spans="1:21" s="26" customFormat="1" ht="30" customHeight="1">
      <c r="A15" s="123" t="s">
        <v>40</v>
      </c>
      <c r="B15" s="124"/>
      <c r="C15" s="124"/>
      <c r="D15" s="124"/>
      <c r="E15" s="124"/>
      <c r="F15" s="124"/>
      <c r="G15" s="124"/>
      <c r="H15" s="124"/>
      <c r="J15" s="101" t="s">
        <v>41</v>
      </c>
      <c r="K15" s="101"/>
      <c r="L15" s="104"/>
      <c r="M15" s="104"/>
      <c r="N15" s="104"/>
      <c r="O15" s="100"/>
      <c r="P15" s="61"/>
    </row>
    <row r="16" spans="1:21" s="26" customFormat="1" ht="30" customHeight="1">
      <c r="A16" s="123" t="s">
        <v>42</v>
      </c>
      <c r="B16" s="124"/>
      <c r="C16" s="124"/>
      <c r="D16" s="124"/>
      <c r="E16" s="124"/>
      <c r="F16" s="124"/>
      <c r="G16" s="124"/>
      <c r="H16" s="124"/>
      <c r="J16" s="102" t="s">
        <v>43</v>
      </c>
      <c r="K16" s="102"/>
      <c r="L16" s="103"/>
      <c r="M16" s="103"/>
      <c r="N16" s="103"/>
      <c r="O16" s="50"/>
      <c r="P16" s="50"/>
      <c r="Q16" s="59"/>
    </row>
    <row r="17" spans="1:17" s="26" customFormat="1" ht="30" customHeight="1" thickBot="1">
      <c r="A17" s="123" t="s">
        <v>44</v>
      </c>
      <c r="B17" s="124"/>
      <c r="C17" s="124"/>
      <c r="D17" s="124"/>
      <c r="E17" s="124"/>
      <c r="F17" s="124"/>
      <c r="G17" s="124"/>
      <c r="H17" s="124"/>
      <c r="K17" s="29" t="s">
        <v>45</v>
      </c>
      <c r="L17" s="103"/>
      <c r="M17" s="103"/>
      <c r="N17" s="103"/>
      <c r="Q17" s="28"/>
    </row>
    <row r="18" spans="1:17" s="26" customFormat="1" ht="30" customHeight="1" thickBot="1">
      <c r="A18" s="123" t="s">
        <v>46</v>
      </c>
      <c r="B18" s="124"/>
      <c r="C18" s="124"/>
      <c r="D18" s="124"/>
      <c r="E18" s="124"/>
      <c r="F18" s="124"/>
      <c r="G18" s="124"/>
      <c r="H18" s="124"/>
      <c r="N18" s="26" t="s">
        <v>47</v>
      </c>
      <c r="Q18" s="60" t="str">
        <f>IF(COUNTIF(Q6:Q13,cst_ERR)&gt;0,cst_ERR,IF(COUNTIF(Q6:Q13,cst_NA)&gt;0,cst_NA,IF(COUNTIF(Q6:Q13,cst_PA)&gt;0,cst_PA,IF(COUNTIF(Q6:Q13,cst_A)&gt;=COUNTIF(Q6:Q13,cst_LA),IF(COUNTIF(Q6:Q13,cst_A)=0,"",cst_A),cst_LA))))</f>
        <v/>
      </c>
    </row>
    <row r="19" spans="1:17" ht="20.45" hidden="1">
      <c r="K19" s="122"/>
      <c r="L19" s="122"/>
      <c r="M19" s="122"/>
    </row>
    <row r="20" spans="1:17"/>
    <row r="22" spans="1:17" ht="13.9" hidden="1">
      <c r="A22" s="57" t="s">
        <v>48</v>
      </c>
    </row>
    <row r="23" spans="1:17" hidden="1">
      <c r="A23" s="53">
        <v>1</v>
      </c>
    </row>
    <row r="24" spans="1:17" hidden="1">
      <c r="A24" s="53">
        <v>1.5</v>
      </c>
    </row>
    <row r="25" spans="1:17" hidden="1">
      <c r="A25" s="53">
        <v>2</v>
      </c>
    </row>
    <row r="26" spans="1:17" hidden="1">
      <c r="A26" s="54">
        <v>2.5</v>
      </c>
    </row>
    <row r="27" spans="1:17" hidden="1">
      <c r="A27" s="54">
        <v>3</v>
      </c>
    </row>
    <row r="28" spans="1:17" hidden="1">
      <c r="A28" s="54">
        <v>3.5</v>
      </c>
    </row>
    <row r="29" spans="1:17" hidden="1">
      <c r="A29" s="56">
        <v>4</v>
      </c>
    </row>
    <row r="30" spans="1:17" hidden="1">
      <c r="A30" s="56">
        <v>4.5</v>
      </c>
    </row>
    <row r="31" spans="1:17" hidden="1">
      <c r="A31" s="56">
        <v>5</v>
      </c>
    </row>
    <row r="32" spans="1:17" hidden="1">
      <c r="A32" s="55">
        <v>5.5</v>
      </c>
    </row>
    <row r="33" spans="1:1" hidden="1">
      <c r="A33" s="55">
        <v>6</v>
      </c>
    </row>
  </sheetData>
  <sheetProtection formatCells="0" formatColumns="0" formatRows="0" selectLockedCells="1"/>
  <mergeCells count="18">
    <mergeCell ref="K19:M19"/>
    <mergeCell ref="A15:H15"/>
    <mergeCell ref="A16:H16"/>
    <mergeCell ref="A17:H17"/>
    <mergeCell ref="A18:H18"/>
    <mergeCell ref="D5:F5"/>
    <mergeCell ref="G5:I5"/>
    <mergeCell ref="J5:L5"/>
    <mergeCell ref="M5:O5"/>
    <mergeCell ref="A6:A13"/>
    <mergeCell ref="B6:B9"/>
    <mergeCell ref="B10:B12"/>
    <mergeCell ref="O14:O15"/>
    <mergeCell ref="J15:K15"/>
    <mergeCell ref="J16:K16"/>
    <mergeCell ref="L17:N17"/>
    <mergeCell ref="L15:N15"/>
    <mergeCell ref="L16:N16"/>
  </mergeCells>
  <conditionalFormatting sqref="Q18">
    <cfRule type="cellIs" dxfId="35" priority="3" operator="equal">
      <formula>cst_PA</formula>
    </cfRule>
    <cfRule type="cellIs" dxfId="34" priority="16" operator="equal">
      <formula>cst_NA</formula>
    </cfRule>
    <cfRule type="cellIs" dxfId="33" priority="2" operator="equal">
      <formula>cst_A</formula>
    </cfRule>
    <cfRule type="cellIs" dxfId="32" priority="1" operator="equal">
      <formula>cst_LA</formula>
    </cfRule>
    <cfRule type="cellIs" dxfId="31" priority="17" operator="equal">
      <formula>cst_ERR</formula>
    </cfRule>
  </conditionalFormatting>
  <conditionalFormatting sqref="C6:Q13">
    <cfRule type="expression" dxfId="30" priority="4" stopIfTrue="1">
      <formula>IF($Q6=cst_ignore,"VRAI","FAUX")</formula>
    </cfRule>
  </conditionalFormatting>
  <conditionalFormatting sqref="Q6:Q13">
    <cfRule type="expression" dxfId="29" priority="5">
      <formula>IF($Q6=cst_LA,"VRAI","FAUX")</formula>
    </cfRule>
    <cfRule type="expression" dxfId="28" priority="11">
      <formula>IF($Q6=cst_ERR,"VRAI","FAUX")</formula>
    </cfRule>
  </conditionalFormatting>
  <conditionalFormatting sqref="Q6:Q13">
    <cfRule type="expression" dxfId="27" priority="6">
      <formula>IF($Q6=cst_A,"VRAI","FAUX")</formula>
    </cfRule>
    <cfRule type="expression" dxfId="26" priority="7">
      <formula>IF($Q6=cst_PA,"VRAI","FAUX")</formula>
    </cfRule>
    <cfRule type="expression" dxfId="25" priority="8">
      <formula>IF($Q6=cst_NA,"VRAI","FAUX")</formula>
    </cfRule>
  </conditionalFormatting>
  <conditionalFormatting sqref="C13:Q13">
    <cfRule type="expression" dxfId="24" priority="28" stopIfTrue="1">
      <formula>IF($Q13=$T$1,"VRAI","FAUX")</formula>
    </cfRule>
  </conditionalFormatting>
  <dataValidations count="5">
    <dataValidation type="list" allowBlank="1" showInputMessage="1" showErrorMessage="1" sqref="F6:F13" xr:uid="{6175D4F3-4269-4D4F-BABA-7CDDBFA70DB8}">
      <formula1>$S$2</formula1>
    </dataValidation>
    <dataValidation type="list" allowBlank="1" showInputMessage="1" showErrorMessage="1" sqref="I6:I13" xr:uid="{D690770D-84D8-44E4-A0FE-54FA6239E7D0}">
      <formula1>$S$3</formula1>
    </dataValidation>
    <dataValidation type="list" allowBlank="1" showInputMessage="1" showErrorMessage="1" sqref="L6:L13" xr:uid="{15CCC5BF-36DE-4AAB-AAF8-AA966AB35A04}">
      <formula1>$S$4</formula1>
    </dataValidation>
    <dataValidation type="list" allowBlank="1" showInputMessage="1" showErrorMessage="1" sqref="O6:O13" xr:uid="{A1504BE9-3FC5-4420-A142-98CD1BC20F5B}">
      <formula1>$S$5</formula1>
    </dataValidation>
    <dataValidation type="list" allowBlank="1" showInputMessage="1" showErrorMessage="1" sqref="P6:P13" xr:uid="{3ED61294-1AFF-4B6F-A23B-0D452A09704A}">
      <formula1>$T$2:$T$3</formula1>
    </dataValidation>
  </dataValidations>
  <printOptions horizontalCentered="1" verticalCentered="1"/>
  <pageMargins left="0.27559055118110237" right="0.27559055118110237" top="0.39370078740157483" bottom="0.39370078740157483" header="0.19685039370078741" footer="0.19685039370078741"/>
  <pageSetup paperSize="9" scale="60" orientation="landscape" r:id="rId1"/>
  <headerFooter alignWithMargins="0">
    <oddHeader>&amp;L&amp;"ETML L,Normal"ETML&amp;R&amp;G</oddHeader>
    <oddFooter>&amp;L&amp;8&amp;D&amp;C&amp;8&amp;F  -  &amp;A&amp;R&amp;8Page &amp;P/&amp;N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F28"/>
  <sheetViews>
    <sheetView tabSelected="1" workbookViewId="0">
      <selection activeCell="C2" sqref="C2"/>
    </sheetView>
  </sheetViews>
  <sheetFormatPr defaultColWidth="11.25" defaultRowHeight="13.9"/>
  <cols>
    <col min="1" max="2" width="11.25" style="1"/>
    <col min="3" max="3" width="33.75" style="1" customWidth="1"/>
    <col min="4" max="4" width="14.75" style="1" customWidth="1"/>
    <col min="5" max="5" width="11.25" style="1"/>
    <col min="6" max="6" width="33.375" style="1" customWidth="1"/>
    <col min="7" max="7" width="11.25" style="1"/>
    <col min="8" max="8" width="23.125" style="1" bestFit="1" customWidth="1"/>
    <col min="9" max="16384" width="11.25" style="1"/>
  </cols>
  <sheetData>
    <row r="1" spans="1:6" ht="14.45" thickBot="1">
      <c r="A1" s="3" t="s">
        <v>49</v>
      </c>
      <c r="B1" s="4" t="s">
        <v>50</v>
      </c>
      <c r="C1" s="5" t="s">
        <v>51</v>
      </c>
      <c r="D1" s="5" t="s">
        <v>52</v>
      </c>
    </row>
    <row r="2" spans="1:6">
      <c r="A2" s="11" t="s">
        <v>53</v>
      </c>
      <c r="B2" s="12" t="s">
        <v>54</v>
      </c>
      <c r="C2" s="19" t="str">
        <f>IF(COUNTA(A2,B2)=2,A2&amp;"_"&amp;B2,"")</f>
        <v>GGZ1_ggz1</v>
      </c>
      <c r="D2" s="8" t="s">
        <v>7</v>
      </c>
    </row>
    <row r="3" spans="1:6">
      <c r="A3" s="13" t="s">
        <v>55</v>
      </c>
      <c r="B3" s="14" t="s">
        <v>56</v>
      </c>
      <c r="C3" s="20" t="str">
        <f t="shared" ref="C3:C17" si="0">IF(COUNTA(A3,B3)=2,A3&amp;"_"&amp;B3,"")</f>
        <v>GGZ2_ggz2</v>
      </c>
      <c r="D3" s="9" t="s">
        <v>10</v>
      </c>
    </row>
    <row r="4" spans="1:6">
      <c r="A4" s="15"/>
      <c r="B4" s="16"/>
      <c r="C4" s="20" t="str">
        <f t="shared" si="0"/>
        <v/>
      </c>
      <c r="D4" s="9"/>
    </row>
    <row r="5" spans="1:6">
      <c r="A5" s="15"/>
      <c r="B5" s="16"/>
      <c r="C5" s="20" t="str">
        <f t="shared" si="0"/>
        <v/>
      </c>
      <c r="D5" s="9"/>
    </row>
    <row r="6" spans="1:6" ht="14.45" thickBot="1">
      <c r="A6" s="15"/>
      <c r="B6" s="16"/>
      <c r="C6" s="20" t="str">
        <f t="shared" si="0"/>
        <v/>
      </c>
      <c r="D6" s="9"/>
    </row>
    <row r="7" spans="1:6" ht="14.45" thickBot="1">
      <c r="A7" s="15"/>
      <c r="B7" s="16"/>
      <c r="C7" s="20" t="str">
        <f t="shared" si="0"/>
        <v/>
      </c>
      <c r="D7" s="9"/>
      <c r="F7" s="7" t="s">
        <v>57</v>
      </c>
    </row>
    <row r="8" spans="1:6">
      <c r="A8" s="15"/>
      <c r="B8" s="16"/>
      <c r="C8" s="20" t="str">
        <f t="shared" si="0"/>
        <v/>
      </c>
      <c r="D8" s="9"/>
      <c r="F8" s="23" t="s">
        <v>58</v>
      </c>
    </row>
    <row r="9" spans="1:6">
      <c r="A9" s="15"/>
      <c r="B9" s="16"/>
      <c r="C9" s="20" t="str">
        <f t="shared" si="0"/>
        <v/>
      </c>
      <c r="D9" s="9"/>
      <c r="F9" s="23" t="s">
        <v>59</v>
      </c>
    </row>
    <row r="10" spans="1:6">
      <c r="A10" s="15"/>
      <c r="B10" s="16"/>
      <c r="C10" s="20" t="str">
        <f t="shared" si="0"/>
        <v/>
      </c>
      <c r="D10" s="9"/>
      <c r="F10" s="23" t="s">
        <v>60</v>
      </c>
    </row>
    <row r="11" spans="1:6">
      <c r="A11" s="15"/>
      <c r="B11" s="16"/>
      <c r="C11" s="20" t="str">
        <f t="shared" si="0"/>
        <v/>
      </c>
      <c r="D11" s="9"/>
      <c r="F11" s="23">
        <v>8</v>
      </c>
    </row>
    <row r="12" spans="1:6" ht="14.45" thickBot="1">
      <c r="A12" s="15"/>
      <c r="B12" s="16"/>
      <c r="C12" s="20" t="str">
        <f t="shared" si="0"/>
        <v/>
      </c>
      <c r="D12" s="9"/>
      <c r="F12" s="24" t="s">
        <v>61</v>
      </c>
    </row>
    <row r="13" spans="1:6">
      <c r="A13" s="15"/>
      <c r="B13" s="16"/>
      <c r="C13" s="20" t="str">
        <f t="shared" si="0"/>
        <v/>
      </c>
      <c r="D13" s="9"/>
    </row>
    <row r="14" spans="1:6">
      <c r="A14" s="15"/>
      <c r="B14" s="16"/>
      <c r="C14" s="20" t="str">
        <f t="shared" si="0"/>
        <v/>
      </c>
      <c r="D14" s="9"/>
    </row>
    <row r="15" spans="1:6">
      <c r="A15" s="15"/>
      <c r="B15" s="16"/>
      <c r="C15" s="20" t="str">
        <f t="shared" si="0"/>
        <v/>
      </c>
      <c r="D15" s="9"/>
    </row>
    <row r="16" spans="1:6">
      <c r="A16" s="15"/>
      <c r="B16" s="16"/>
      <c r="C16" s="20" t="str">
        <f t="shared" si="0"/>
        <v/>
      </c>
      <c r="D16" s="9"/>
    </row>
    <row r="17" spans="1:5" ht="14.45" thickBot="1">
      <c r="A17" s="17"/>
      <c r="B17" s="18"/>
      <c r="C17" s="21" t="str">
        <f t="shared" si="0"/>
        <v/>
      </c>
      <c r="D17" s="10"/>
    </row>
    <row r="19" spans="1:5">
      <c r="A19" s="2" t="s">
        <v>62</v>
      </c>
      <c r="C19" s="2"/>
    </row>
    <row r="26" spans="1:5" ht="82.9" customHeight="1">
      <c r="D26" s="125" t="s">
        <v>63</v>
      </c>
      <c r="E26" s="125"/>
    </row>
    <row r="27" spans="1:5">
      <c r="D27" s="22"/>
    </row>
    <row r="28" spans="1:5">
      <c r="D28" s="22"/>
    </row>
  </sheetData>
  <sheetProtection sheet="1" objects="1" scenarios="1"/>
  <mergeCells count="1">
    <mergeCell ref="D26:E26"/>
  </mergeCells>
  <phoneticPr fontId="2" type="noConversion"/>
  <dataValidations count="5">
    <dataValidation type="whole" allowBlank="1" showInputMessage="1" showErrorMessage="1" errorTitle="err-nb-semaines" error="Il faut introduire un nombre entier comrpis entre 1 et 20" promptTitle="msg-nb-semaines" prompt="Introduire le nombre de semaines du projet. Il s'agit d'un nombre entier compris entre 1 et 20 qui indiquent le nombre de semaines pour la réalisation du projet ou du module" sqref="F11" xr:uid="{14AC6658-6AD9-4534-A4FD-4391E7C0ADAD}">
      <formula1>1</formula1>
      <formula2>20</formula2>
    </dataValidation>
    <dataValidation allowBlank="1" showInputMessage="1" showErrorMessage="1" promptTitle="msg-periode" prompt="Introduire une période de l'année. Par exemple, &quot;s34-s51 2022&quot; pour les semaines depuis août jusqu'à Noël 2022" sqref="F12" xr:uid="{0CCEE374-CF94-4A65-BC2D-1E7AA7EC9394}"/>
    <dataValidation allowBlank="1" showInputMessage="1" showErrorMessage="1" promptTitle="msg-classe" prompt="Introduire le nom de la classe" sqref="F8" xr:uid="{198F3DDA-C9F6-492C-BA31-B968ACB2E9B7}"/>
    <dataValidation allowBlank="1" showInputMessage="1" showErrorMessage="1" promptTitle="msg-prof" prompt="Introduire le nom ou le visa du prof responsable de l'évaluation" sqref="F9" xr:uid="{0402365E-978F-4E0C-88C1-0E8FDA8E9534}"/>
    <dataValidation allowBlank="1" showInputMessage="1" showErrorMessage="1" promptTitle="msg-projet" prompt="Introduire le libellé du projet ou du module. Par exemple, &quot;p012_bureautique&quot;" sqref="F10" xr:uid="{BB472D57-CEB5-49B4-A884-B7E0B509F847}"/>
  </dataValidations>
  <printOptions horizontalCentered="1"/>
  <pageMargins left="0.78740157480314965" right="0.78740157480314965" top="0.98425196850393704" bottom="0.98425196850393704" header="0.31496062992125984" footer="0.31496062992125984"/>
  <pageSetup paperSize="9" orientation="landscape" r:id="rId1"/>
  <headerFooter alignWithMargins="0">
    <oddHeader>&amp;L&amp;"ETML L,Normal"ETML&amp;R&amp;G</oddHeader>
    <oddFooter>&amp;L&amp;D&amp;C&amp;F&amp;R&amp;P/&amp;N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mdAutomation_Click">
                <anchor moveWithCells="1" sizeWithCells="1">
                  <from>
                    <xdr:col>2</xdr:col>
                    <xdr:colOff>236220</xdr:colOff>
                    <xdr:row>18</xdr:row>
                    <xdr:rowOff>15240</xdr:rowOff>
                  </from>
                  <to>
                    <xdr:col>2</xdr:col>
                    <xdr:colOff>2118360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fficheNote">
                <anchor moveWithCells="1" sizeWithCells="1">
                  <from>
                    <xdr:col>2</xdr:col>
                    <xdr:colOff>243840</xdr:colOff>
                    <xdr:row>21</xdr:row>
                    <xdr:rowOff>45720</xdr:rowOff>
                  </from>
                  <to>
                    <xdr:col>2</xdr:col>
                    <xdr:colOff>2110740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btnVerrouillerDeverrouillerEleve_Click">
                <anchor moveWithCells="1" sizeWithCells="1">
                  <from>
                    <xdr:col>5</xdr:col>
                    <xdr:colOff>259080</xdr:colOff>
                    <xdr:row>21</xdr:row>
                    <xdr:rowOff>53340</xdr:rowOff>
                  </from>
                  <to>
                    <xdr:col>5</xdr:col>
                    <xdr:colOff>2110740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FileStudentExportPDF">
                <anchor moveWithCells="1" sizeWithCells="1">
                  <from>
                    <xdr:col>3</xdr:col>
                    <xdr:colOff>0</xdr:colOff>
                    <xdr:row>17</xdr:row>
                    <xdr:rowOff>167640</xdr:rowOff>
                  </from>
                  <to>
                    <xdr:col>4</xdr:col>
                    <xdr:colOff>678180</xdr:colOff>
                    <xdr:row>20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FileStudentExportXlsx">
                <anchor moveWithCells="1" sizeWithCells="1">
                  <from>
                    <xdr:col>3</xdr:col>
                    <xdr:colOff>0</xdr:colOff>
                    <xdr:row>21</xdr:row>
                    <xdr:rowOff>53340</xdr:rowOff>
                  </from>
                  <to>
                    <xdr:col>4</xdr:col>
                    <xdr:colOff>670560</xdr:colOff>
                    <xdr:row>24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DD3F0-B060-4227-ABCD-C888CAC2E568}">
  <sheetPr codeName="Feuil4">
    <pageSetUpPr fitToPage="1"/>
  </sheetPr>
  <dimension ref="A1:U33"/>
  <sheetViews>
    <sheetView showGridLines="0" topLeftCell="A6" zoomScale="70" zoomScaleNormal="70" workbookViewId="0">
      <selection activeCell="I11" sqref="I11"/>
    </sheetView>
  </sheetViews>
  <sheetFormatPr defaultColWidth="11.25" defaultRowHeight="13.15" customHeight="1" zeroHeight="1"/>
  <cols>
    <col min="1" max="1" width="6.875" style="6" customWidth="1"/>
    <col min="2" max="2" width="9.625" style="6" customWidth="1"/>
    <col min="3" max="3" width="43.375" style="6" customWidth="1"/>
    <col min="4" max="4" width="6.75" style="6" customWidth="1"/>
    <col min="5" max="5" width="13.75" style="6" customWidth="1"/>
    <col min="6" max="7" width="6.75" style="6" customWidth="1"/>
    <col min="8" max="8" width="13.75" style="6" customWidth="1"/>
    <col min="9" max="10" width="6.75" style="6" customWidth="1"/>
    <col min="11" max="11" width="13.75" style="6" customWidth="1"/>
    <col min="12" max="13" width="6.75" style="6" customWidth="1"/>
    <col min="14" max="14" width="13.75" style="6" customWidth="1"/>
    <col min="15" max="16" width="6.75" style="6" customWidth="1"/>
    <col min="17" max="17" width="9.75" style="6" bestFit="1" customWidth="1"/>
    <col min="18" max="18" width="11.25" style="6"/>
    <col min="19" max="19" width="22.25" style="6" hidden="1" customWidth="1"/>
    <col min="20" max="20" width="11.25" style="6" hidden="1" customWidth="1"/>
    <col min="21" max="21" width="9.25" style="6" bestFit="1" customWidth="1"/>
    <col min="22" max="16384" width="11.25" style="6"/>
  </cols>
  <sheetData>
    <row r="1" spans="1:21" s="25" customFormat="1" ht="30" customHeight="1" thickBot="1">
      <c r="A1" s="52" t="s">
        <v>0</v>
      </c>
      <c r="Q1" s="58"/>
      <c r="S1" s="74" t="s">
        <v>1</v>
      </c>
      <c r="T1" s="74" t="s">
        <v>2</v>
      </c>
    </row>
    <row r="2" spans="1:21" s="26" customFormat="1" ht="19.899999999999999" customHeight="1" thickTop="1">
      <c r="A2" s="49" t="s">
        <v>3</v>
      </c>
      <c r="D2" s="29" t="s">
        <v>4</v>
      </c>
      <c r="E2" s="30" t="str">
        <f>Automation!C2</f>
        <v>GGZ1_ggz1</v>
      </c>
      <c r="F2" s="40"/>
      <c r="G2" s="40"/>
      <c r="H2" s="38"/>
      <c r="I2" s="29" t="s">
        <v>6</v>
      </c>
      <c r="J2" s="30" t="str">
        <f>Automation!F10</f>
        <v>p_onboarding</v>
      </c>
      <c r="K2" s="40"/>
      <c r="L2" s="40"/>
      <c r="M2" s="40"/>
      <c r="N2" s="38"/>
      <c r="O2" s="38"/>
      <c r="P2" s="38"/>
      <c r="Q2" s="38"/>
      <c r="S2" s="75" t="s">
        <v>7</v>
      </c>
      <c r="T2" s="75" t="b">
        <v>1</v>
      </c>
    </row>
    <row r="3" spans="1:21" s="26" customFormat="1" ht="19.899999999999999" customHeight="1">
      <c r="A3" s="32"/>
      <c r="B3" s="33"/>
      <c r="D3" s="31" t="s">
        <v>8</v>
      </c>
      <c r="E3" s="41" t="str">
        <f>Automation!F8</f>
        <v>cin1c</v>
      </c>
      <c r="F3" s="43"/>
      <c r="G3" s="43"/>
      <c r="H3" s="38"/>
      <c r="I3" s="31" t="s">
        <v>9</v>
      </c>
      <c r="J3" s="41">
        <f>Automation!F11</f>
        <v>8</v>
      </c>
      <c r="K3" s="42"/>
      <c r="L3" s="43"/>
      <c r="M3" s="43"/>
      <c r="N3" s="38"/>
      <c r="O3" s="38"/>
      <c r="P3" s="38"/>
      <c r="Q3" s="38"/>
      <c r="S3" s="72" t="s">
        <v>10</v>
      </c>
      <c r="T3" s="72" t="b">
        <v>0</v>
      </c>
    </row>
    <row r="4" spans="1:21" s="27" customFormat="1" ht="19.899999999999999" customHeight="1" thickBot="1">
      <c r="A4" s="32"/>
      <c r="B4" s="33"/>
      <c r="D4" s="29" t="s">
        <v>11</v>
      </c>
      <c r="E4" s="48" t="str">
        <f>Automation!F9</f>
        <v>ggz</v>
      </c>
      <c r="F4" s="46"/>
      <c r="G4" s="46"/>
      <c r="H4" s="39"/>
      <c r="I4" s="31" t="s">
        <v>12</v>
      </c>
      <c r="J4" s="44" t="str">
        <f>Automation!F12</f>
        <v>10.11.22 - 12.01.23</v>
      </c>
      <c r="K4" s="45"/>
      <c r="L4" s="46"/>
      <c r="M4" s="46"/>
      <c r="N4" s="47"/>
      <c r="O4" s="47"/>
      <c r="P4" s="47"/>
      <c r="Q4" s="47"/>
      <c r="S4" s="73" t="s">
        <v>13</v>
      </c>
      <c r="T4"/>
      <c r="U4"/>
    </row>
    <row r="5" spans="1:21" s="26" customFormat="1" ht="25.15" customHeight="1" thickTop="1" thickBot="1">
      <c r="C5" s="34"/>
      <c r="D5" s="105" t="s">
        <v>14</v>
      </c>
      <c r="E5" s="106"/>
      <c r="F5" s="106"/>
      <c r="G5" s="107" t="s">
        <v>15</v>
      </c>
      <c r="H5" s="108"/>
      <c r="I5" s="108"/>
      <c r="J5" s="109" t="s">
        <v>16</v>
      </c>
      <c r="K5" s="110"/>
      <c r="L5" s="110"/>
      <c r="M5" s="111" t="s">
        <v>17</v>
      </c>
      <c r="N5" s="112"/>
      <c r="O5" s="112"/>
      <c r="P5" s="69" t="s">
        <v>2</v>
      </c>
      <c r="Q5" s="51" t="s">
        <v>18</v>
      </c>
      <c r="S5" s="72" t="s">
        <v>19</v>
      </c>
      <c r="T5"/>
      <c r="U5"/>
    </row>
    <row r="6" spans="1:21" s="35" customFormat="1" ht="75" customHeight="1" thickTop="1">
      <c r="A6" s="113" t="s">
        <v>20</v>
      </c>
      <c r="B6" s="116" t="s">
        <v>21</v>
      </c>
      <c r="C6" s="65" t="s">
        <v>22</v>
      </c>
      <c r="D6" s="76" t="s">
        <v>23</v>
      </c>
      <c r="E6" s="77" t="s">
        <v>24</v>
      </c>
      <c r="F6" s="78"/>
      <c r="G6" s="82" t="s">
        <v>23</v>
      </c>
      <c r="H6" s="83" t="s">
        <v>25</v>
      </c>
      <c r="I6" s="84" t="s">
        <v>10</v>
      </c>
      <c r="J6" s="88" t="s">
        <v>23</v>
      </c>
      <c r="K6" s="89" t="s">
        <v>26</v>
      </c>
      <c r="L6" s="90"/>
      <c r="M6" s="94" t="s">
        <v>23</v>
      </c>
      <c r="N6" s="95" t="s">
        <v>27</v>
      </c>
      <c r="O6" s="96"/>
      <c r="P6" s="70" t="b">
        <v>0</v>
      </c>
      <c r="Q6" s="66" t="str" cm="1">
        <f t="array" ref="Q6">IF(P6=cst_ignore_VRAI,cst_ignore,IF(COUNTA(F6,I6,L6,O6)&gt;1,cst_ERR,CONCATENATE(F6,I6,L6,O6)))</f>
        <v>A</v>
      </c>
      <c r="S6" s="73" t="s">
        <v>28</v>
      </c>
      <c r="T6"/>
      <c r="U6"/>
    </row>
    <row r="7" spans="1:21" s="35" customFormat="1" ht="75" customHeight="1">
      <c r="A7" s="114"/>
      <c r="B7" s="117"/>
      <c r="C7" s="64" t="s">
        <v>29</v>
      </c>
      <c r="D7" s="76" t="s">
        <v>23</v>
      </c>
      <c r="E7" s="77" t="s">
        <v>24</v>
      </c>
      <c r="F7" s="78" t="s">
        <v>7</v>
      </c>
      <c r="G7" s="82" t="s">
        <v>23</v>
      </c>
      <c r="H7" s="83" t="s">
        <v>25</v>
      </c>
      <c r="I7" s="84"/>
      <c r="J7" s="88" t="s">
        <v>23</v>
      </c>
      <c r="K7" s="89" t="s">
        <v>26</v>
      </c>
      <c r="L7" s="90"/>
      <c r="M7" s="94" t="s">
        <v>23</v>
      </c>
      <c r="N7" s="95" t="s">
        <v>27</v>
      </c>
      <c r="O7" s="96"/>
      <c r="P7" s="70" t="b">
        <v>0</v>
      </c>
      <c r="Q7" s="66" t="str" cm="1">
        <f t="array" ref="Q7">IF(P7=cst_ignore_VRAI,cst_ignore,IF(COUNTA(F7,I7,L7,O7)&gt;1,cst_ERR,CONCATENATE(F7,I7,L7,O7)))</f>
        <v>LA</v>
      </c>
    </row>
    <row r="8" spans="1:21" s="35" customFormat="1" ht="75" customHeight="1">
      <c r="A8" s="114"/>
      <c r="B8" s="117"/>
      <c r="C8" s="64" t="s">
        <v>30</v>
      </c>
      <c r="D8" s="76" t="s">
        <v>23</v>
      </c>
      <c r="E8" s="77" t="s">
        <v>24</v>
      </c>
      <c r="F8" s="78" t="s">
        <v>7</v>
      </c>
      <c r="G8" s="82" t="s">
        <v>23</v>
      </c>
      <c r="H8" s="83" t="s">
        <v>25</v>
      </c>
      <c r="I8" s="84"/>
      <c r="J8" s="88" t="s">
        <v>23</v>
      </c>
      <c r="K8" s="89" t="s">
        <v>26</v>
      </c>
      <c r="L8" s="90"/>
      <c r="M8" s="94" t="s">
        <v>23</v>
      </c>
      <c r="N8" s="95" t="s">
        <v>27</v>
      </c>
      <c r="O8" s="96"/>
      <c r="P8" s="70" t="b">
        <v>0</v>
      </c>
      <c r="Q8" s="66" t="str" cm="1">
        <f t="array" ref="Q8">IF(P8=cst_ignore_VRAI,cst_ignore,IF(COUNTA(F8,I8,L8,O8)&gt;1,cst_ERR,CONCATENATE(F8,I8,L8,O8)))</f>
        <v>LA</v>
      </c>
    </row>
    <row r="9" spans="1:21" s="35" customFormat="1" ht="75" customHeight="1">
      <c r="A9" s="114"/>
      <c r="B9" s="118"/>
      <c r="C9" s="64" t="s">
        <v>31</v>
      </c>
      <c r="D9" s="76" t="s">
        <v>23</v>
      </c>
      <c r="E9" s="77" t="s">
        <v>24</v>
      </c>
      <c r="F9" s="78"/>
      <c r="G9" s="82" t="s">
        <v>23</v>
      </c>
      <c r="H9" s="83" t="s">
        <v>25</v>
      </c>
      <c r="I9" s="84" t="s">
        <v>10</v>
      </c>
      <c r="J9" s="88" t="s">
        <v>23</v>
      </c>
      <c r="K9" s="89" t="s">
        <v>26</v>
      </c>
      <c r="L9" s="90"/>
      <c r="M9" s="94" t="s">
        <v>23</v>
      </c>
      <c r="N9" s="95" t="s">
        <v>27</v>
      </c>
      <c r="O9" s="96"/>
      <c r="P9" s="70" t="b">
        <v>0</v>
      </c>
      <c r="Q9" s="66" t="str" cm="1">
        <f t="array" ref="Q9">IF(P9=cst_ignore_VRAI,cst_ignore,IF(COUNTA(F9,I9,L9,O9)&gt;1,cst_ERR,CONCATENATE(F9,I9,L9,O9)))</f>
        <v>A</v>
      </c>
    </row>
    <row r="10" spans="1:21" s="35" customFormat="1" ht="75" customHeight="1">
      <c r="A10" s="114"/>
      <c r="B10" s="119" t="s">
        <v>32</v>
      </c>
      <c r="C10" s="64" t="s">
        <v>33</v>
      </c>
      <c r="D10" s="76" t="s">
        <v>23</v>
      </c>
      <c r="E10" s="77" t="s">
        <v>24</v>
      </c>
      <c r="F10" s="78" t="s">
        <v>7</v>
      </c>
      <c r="G10" s="82" t="s">
        <v>23</v>
      </c>
      <c r="H10" s="83" t="s">
        <v>25</v>
      </c>
      <c r="I10" s="84"/>
      <c r="J10" s="88" t="s">
        <v>23</v>
      </c>
      <c r="K10" s="89" t="s">
        <v>26</v>
      </c>
      <c r="L10" s="90"/>
      <c r="M10" s="94" t="s">
        <v>23</v>
      </c>
      <c r="N10" s="95" t="s">
        <v>27</v>
      </c>
      <c r="O10" s="96"/>
      <c r="P10" s="70" t="b">
        <v>0</v>
      </c>
      <c r="Q10" s="66" t="str" cm="1">
        <f t="array" ref="Q10">IF(P10=cst_ignore_VRAI,cst_ignore,IF(COUNTA(F10,I10,L10,O10)&gt;1,cst_ERR,CONCATENATE(F10,I10,L10,O10)))</f>
        <v>LA</v>
      </c>
    </row>
    <row r="11" spans="1:21" s="35" customFormat="1" ht="75" customHeight="1">
      <c r="A11" s="114"/>
      <c r="B11" s="120"/>
      <c r="C11" s="64" t="s">
        <v>34</v>
      </c>
      <c r="D11" s="76" t="s">
        <v>23</v>
      </c>
      <c r="E11" s="77" t="s">
        <v>24</v>
      </c>
      <c r="F11" s="78" t="s">
        <v>7</v>
      </c>
      <c r="G11" s="82" t="s">
        <v>23</v>
      </c>
      <c r="H11" s="83" t="s">
        <v>25</v>
      </c>
      <c r="I11" s="84"/>
      <c r="J11" s="88" t="s">
        <v>23</v>
      </c>
      <c r="K11" s="89" t="s">
        <v>26</v>
      </c>
      <c r="L11" s="90"/>
      <c r="M11" s="94" t="s">
        <v>23</v>
      </c>
      <c r="N11" s="95" t="s">
        <v>27</v>
      </c>
      <c r="O11" s="96"/>
      <c r="P11" s="70" t="b">
        <v>0</v>
      </c>
      <c r="Q11" s="66" t="str" cm="1">
        <f t="array" ref="Q11">IF(P11=cst_ignore_VRAI,cst_ignore,IF(COUNTA(F11,I11,L11,O11)&gt;1,cst_ERR,CONCATENATE(F11,I11,L11,O11)))</f>
        <v>LA</v>
      </c>
      <c r="R11" s="68"/>
    </row>
    <row r="12" spans="1:21" s="35" customFormat="1" ht="75" customHeight="1">
      <c r="A12" s="114"/>
      <c r="B12" s="121"/>
      <c r="C12" s="64" t="s">
        <v>35</v>
      </c>
      <c r="D12" s="76" t="s">
        <v>23</v>
      </c>
      <c r="E12" s="77" t="s">
        <v>24</v>
      </c>
      <c r="F12" s="78" t="s">
        <v>7</v>
      </c>
      <c r="G12" s="82" t="s">
        <v>23</v>
      </c>
      <c r="H12" s="83" t="s">
        <v>25</v>
      </c>
      <c r="I12" s="84"/>
      <c r="J12" s="88" t="s">
        <v>23</v>
      </c>
      <c r="K12" s="89" t="s">
        <v>26</v>
      </c>
      <c r="L12" s="90"/>
      <c r="M12" s="94" t="s">
        <v>23</v>
      </c>
      <c r="N12" s="95" t="s">
        <v>27</v>
      </c>
      <c r="O12" s="96"/>
      <c r="P12" s="70" t="b">
        <v>1</v>
      </c>
      <c r="Q12" s="66" t="str" cm="1">
        <f t="array" ref="Q12">IF(P12=cst_ignore_VRAI,cst_ignore,IF(COUNTA(F12,I12,L12,O12)&gt;1,cst_ERR,CONCATENATE(F12,I12,L12,O12)))</f>
        <v>Ignoré</v>
      </c>
    </row>
    <row r="13" spans="1:21" s="35" customFormat="1" ht="75" customHeight="1" thickBot="1">
      <c r="A13" s="115"/>
      <c r="B13" s="62" t="s">
        <v>36</v>
      </c>
      <c r="C13" s="63" t="s">
        <v>37</v>
      </c>
      <c r="D13" s="79" t="s">
        <v>23</v>
      </c>
      <c r="E13" s="80" t="s">
        <v>24</v>
      </c>
      <c r="F13" s="81" t="s">
        <v>7</v>
      </c>
      <c r="G13" s="85" t="s">
        <v>23</v>
      </c>
      <c r="H13" s="86" t="s">
        <v>25</v>
      </c>
      <c r="I13" s="87"/>
      <c r="J13" s="91" t="s">
        <v>23</v>
      </c>
      <c r="K13" s="92" t="s">
        <v>26</v>
      </c>
      <c r="L13" s="93"/>
      <c r="M13" s="97" t="s">
        <v>23</v>
      </c>
      <c r="N13" s="98" t="s">
        <v>27</v>
      </c>
      <c r="O13" s="99"/>
      <c r="P13" s="71" t="b">
        <v>1</v>
      </c>
      <c r="Q13" s="67" t="str" cm="1">
        <f t="array" ref="Q13">IF(P13=cst_ignore_VRAI,cst_ignore,IF(COUNTA(F13,I13,L13,O13)&gt;1,cst_ERR,CONCATENATE(F13,I13,L13,O13)))</f>
        <v>Ignoré</v>
      </c>
    </row>
    <row r="14" spans="1:21" s="26" customFormat="1" ht="25.15" customHeight="1" thickTop="1">
      <c r="A14" s="27" t="s">
        <v>38</v>
      </c>
      <c r="L14" s="27"/>
      <c r="M14" s="27"/>
      <c r="N14" s="36"/>
      <c r="O14" s="100" t="s">
        <v>39</v>
      </c>
      <c r="P14" s="61"/>
      <c r="Q14" s="37"/>
    </row>
    <row r="15" spans="1:21" s="26" customFormat="1" ht="30" customHeight="1">
      <c r="A15" s="123" t="s">
        <v>40</v>
      </c>
      <c r="B15" s="124"/>
      <c r="C15" s="124"/>
      <c r="D15" s="124"/>
      <c r="E15" s="124"/>
      <c r="F15" s="124"/>
      <c r="G15" s="124"/>
      <c r="H15" s="124"/>
      <c r="J15" s="101" t="s">
        <v>41</v>
      </c>
      <c r="K15" s="101"/>
      <c r="L15" s="104">
        <v>44938</v>
      </c>
      <c r="M15" s="104"/>
      <c r="N15" s="104"/>
      <c r="O15" s="100"/>
      <c r="P15" s="61"/>
    </row>
    <row r="16" spans="1:21" s="26" customFormat="1" ht="30" customHeight="1">
      <c r="A16" s="126" t="s">
        <v>64</v>
      </c>
      <c r="B16" s="124"/>
      <c r="C16" s="124"/>
      <c r="D16" s="124"/>
      <c r="E16" s="124"/>
      <c r="F16" s="124"/>
      <c r="G16" s="124"/>
      <c r="H16" s="124"/>
      <c r="J16" s="102" t="s">
        <v>43</v>
      </c>
      <c r="K16" s="102"/>
      <c r="L16" s="103"/>
      <c r="M16" s="103"/>
      <c r="N16" s="103"/>
      <c r="O16" s="50"/>
      <c r="P16" s="50"/>
      <c r="Q16" s="59"/>
    </row>
    <row r="17" spans="1:17" s="26" customFormat="1" ht="30" customHeight="1" thickBot="1">
      <c r="A17" s="126" t="s">
        <v>65</v>
      </c>
      <c r="B17" s="124"/>
      <c r="C17" s="124"/>
      <c r="D17" s="124"/>
      <c r="E17" s="124"/>
      <c r="F17" s="124"/>
      <c r="G17" s="124"/>
      <c r="H17" s="124"/>
      <c r="K17" s="29" t="s">
        <v>45</v>
      </c>
      <c r="L17" s="103" t="s">
        <v>66</v>
      </c>
      <c r="M17" s="103"/>
      <c r="N17" s="103"/>
      <c r="Q17" s="28"/>
    </row>
    <row r="18" spans="1:17" s="26" customFormat="1" ht="30" customHeight="1" thickBot="1">
      <c r="A18" s="123" t="s">
        <v>46</v>
      </c>
      <c r="B18" s="124"/>
      <c r="C18" s="124"/>
      <c r="D18" s="124"/>
      <c r="E18" s="124"/>
      <c r="F18" s="124"/>
      <c r="G18" s="124"/>
      <c r="H18" s="124"/>
      <c r="N18" s="26" t="s">
        <v>47</v>
      </c>
      <c r="Q18" s="60" t="str">
        <f>IF(COUNTIF(Q6:Q13,cst_ERR)&gt;0,cst_ERR,IF(COUNTIF(Q6:Q13,cst_NA)&gt;0,cst_NA,IF(COUNTIF(Q6:Q13,cst_PA)&gt;0,cst_PA,IF(COUNTIF(Q6:Q13,cst_A)&gt;=COUNTIF(Q6:Q13,cst_LA),IF(COUNTIF(Q6:Q13,cst_A)=0,"",cst_A),cst_LA))))</f>
        <v>LA</v>
      </c>
    </row>
    <row r="19" spans="1:17" ht="20.45" hidden="1">
      <c r="K19" s="122"/>
      <c r="L19" s="122"/>
      <c r="M19" s="122"/>
    </row>
    <row r="20" spans="1:17"/>
    <row r="22" spans="1:17" ht="13.9" hidden="1">
      <c r="A22" s="57" t="s">
        <v>48</v>
      </c>
    </row>
    <row r="23" spans="1:17" hidden="1">
      <c r="A23" s="53">
        <v>1</v>
      </c>
    </row>
    <row r="24" spans="1:17" hidden="1">
      <c r="A24" s="53">
        <v>1.5</v>
      </c>
    </row>
    <row r="25" spans="1:17" hidden="1">
      <c r="A25" s="53">
        <v>2</v>
      </c>
    </row>
    <row r="26" spans="1:17" hidden="1">
      <c r="A26" s="54">
        <v>2.5</v>
      </c>
    </row>
    <row r="27" spans="1:17" hidden="1">
      <c r="A27" s="54">
        <v>3</v>
      </c>
    </row>
    <row r="28" spans="1:17" hidden="1">
      <c r="A28" s="54">
        <v>3.5</v>
      </c>
    </row>
    <row r="29" spans="1:17" hidden="1">
      <c r="A29" s="56">
        <v>4</v>
      </c>
    </row>
    <row r="30" spans="1:17" hidden="1">
      <c r="A30" s="56">
        <v>4.5</v>
      </c>
    </row>
    <row r="31" spans="1:17" hidden="1">
      <c r="A31" s="56">
        <v>5</v>
      </c>
    </row>
    <row r="32" spans="1:17" hidden="1">
      <c r="A32" s="55">
        <v>5.5</v>
      </c>
    </row>
    <row r="33" spans="1:1" hidden="1">
      <c r="A33" s="55">
        <v>6</v>
      </c>
    </row>
  </sheetData>
  <sheetProtection sheet="1" objects="1" scenarios="1" formatCells="0" formatColumns="0" formatRows="0" selectLockedCells="1"/>
  <mergeCells count="18">
    <mergeCell ref="D5:F5"/>
    <mergeCell ref="G5:I5"/>
    <mergeCell ref="J5:L5"/>
    <mergeCell ref="M5:O5"/>
    <mergeCell ref="A6:A13"/>
    <mergeCell ref="B6:B9"/>
    <mergeCell ref="B10:B12"/>
    <mergeCell ref="A17:H17"/>
    <mergeCell ref="L17:N17"/>
    <mergeCell ref="A18:H18"/>
    <mergeCell ref="K19:M19"/>
    <mergeCell ref="O14:O15"/>
    <mergeCell ref="A15:H15"/>
    <mergeCell ref="J15:K15"/>
    <mergeCell ref="L15:N15"/>
    <mergeCell ref="A16:H16"/>
    <mergeCell ref="J16:K16"/>
    <mergeCell ref="L16:N16"/>
  </mergeCells>
  <conditionalFormatting sqref="Q18">
    <cfRule type="cellIs" dxfId="23" priority="1" operator="equal">
      <formula>cst_LA</formula>
    </cfRule>
    <cfRule type="cellIs" dxfId="22" priority="2" operator="equal">
      <formula>cst_A</formula>
    </cfRule>
    <cfRule type="cellIs" dxfId="21" priority="3" operator="equal">
      <formula>cst_PA</formula>
    </cfRule>
    <cfRule type="cellIs" dxfId="20" priority="10" operator="equal">
      <formula>cst_NA</formula>
    </cfRule>
    <cfRule type="cellIs" dxfId="19" priority="11" operator="equal">
      <formula>cst_ERR</formula>
    </cfRule>
  </conditionalFormatting>
  <conditionalFormatting sqref="C6:Q13">
    <cfRule type="expression" dxfId="18" priority="4" stopIfTrue="1">
      <formula>IF($Q6=cst_ignore,"VRAI","FAUX")</formula>
    </cfRule>
  </conditionalFormatting>
  <conditionalFormatting sqref="Q6:Q13">
    <cfRule type="expression" dxfId="17" priority="5">
      <formula>IF($Q6=cst_LA,"VRAI","FAUX")</formula>
    </cfRule>
    <cfRule type="expression" dxfId="16" priority="9">
      <formula>IF($Q6=cst_ERR,"VRAI","FAUX")</formula>
    </cfRule>
  </conditionalFormatting>
  <conditionalFormatting sqref="Q6:Q13">
    <cfRule type="expression" dxfId="15" priority="6">
      <formula>IF($Q6=cst_A,"VRAI","FAUX")</formula>
    </cfRule>
    <cfRule type="expression" dxfId="14" priority="7">
      <formula>IF($Q6=cst_PA,"VRAI","FAUX")</formula>
    </cfRule>
    <cfRule type="expression" dxfId="13" priority="8">
      <formula>IF($Q6=cst_NA,"VRAI","FAUX")</formula>
    </cfRule>
  </conditionalFormatting>
  <conditionalFormatting sqref="C13:Q13">
    <cfRule type="expression" dxfId="12" priority="12" stopIfTrue="1">
      <formula>IF($Q13=$T$1,"VRAI","FAUX")</formula>
    </cfRule>
  </conditionalFormatting>
  <dataValidations count="5">
    <dataValidation type="list" allowBlank="1" showInputMessage="1" showErrorMessage="1" sqref="P6:P13" xr:uid="{62413B9F-AA3B-442C-ADF5-4CD3C017F019}">
      <formula1>$T$2:$T$3</formula1>
    </dataValidation>
    <dataValidation type="list" allowBlank="1" showInputMessage="1" showErrorMessage="1" sqref="O6:O13" xr:uid="{64656AF8-2E67-4F14-AC9C-A875CD2B556B}">
      <formula1>$S$5</formula1>
    </dataValidation>
    <dataValidation type="list" allowBlank="1" showInputMessage="1" showErrorMessage="1" sqref="L6:L13" xr:uid="{665AC2A9-D8A9-4821-B967-9C7375FFE440}">
      <formula1>$S$4</formula1>
    </dataValidation>
    <dataValidation type="list" allowBlank="1" showInputMessage="1" showErrorMessage="1" sqref="I6:I13" xr:uid="{5A4FDEB4-620D-4507-A131-111EA59EADE8}">
      <formula1>$S$3</formula1>
    </dataValidation>
    <dataValidation type="list" allowBlank="1" showInputMessage="1" showErrorMessage="1" sqref="F6:F13" xr:uid="{C8FDD982-FF7C-40C7-B0E9-ED0352671CF9}">
      <formula1>$S$2</formula1>
    </dataValidation>
  </dataValidations>
  <printOptions horizontalCentered="1" verticalCentered="1"/>
  <pageMargins left="0.27559055118110237" right="0.27559055118110237" top="0.39370078740157483" bottom="0.39370078740157483" header="0.19685039370078741" footer="0.19685039370078741"/>
  <pageSetup paperSize="9" scale="60" orientation="landscape" r:id="rId1"/>
  <headerFooter alignWithMargins="0">
    <oddHeader>&amp;L&amp;"ETML L,Normal"ETML&amp;R&amp;G</oddHeader>
    <oddFooter>&amp;L&amp;8&amp;D&amp;C&amp;8&amp;F  -  &amp;A&amp;R&amp;8Page &amp;P/&amp;N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18F2-2999-4F8A-B26D-4E29577F203A}">
  <sheetPr codeName="Feuil5">
    <pageSetUpPr fitToPage="1"/>
  </sheetPr>
  <dimension ref="A1:U33"/>
  <sheetViews>
    <sheetView showGridLines="0" zoomScale="70" zoomScaleNormal="70" workbookViewId="0">
      <selection activeCell="H11" sqref="H11"/>
    </sheetView>
  </sheetViews>
  <sheetFormatPr defaultColWidth="11.25" defaultRowHeight="13.15" customHeight="1" zeroHeight="1"/>
  <cols>
    <col min="1" max="1" width="6.875" style="6" customWidth="1"/>
    <col min="2" max="2" width="9.625" style="6" customWidth="1"/>
    <col min="3" max="3" width="43.375" style="6" customWidth="1"/>
    <col min="4" max="4" width="6.75" style="6" customWidth="1"/>
    <col min="5" max="5" width="13.75" style="6" customWidth="1"/>
    <col min="6" max="7" width="6.75" style="6" customWidth="1"/>
    <col min="8" max="8" width="13.75" style="6" customWidth="1"/>
    <col min="9" max="10" width="6.75" style="6" customWidth="1"/>
    <col min="11" max="11" width="13.75" style="6" customWidth="1"/>
    <col min="12" max="13" width="6.75" style="6" customWidth="1"/>
    <col min="14" max="14" width="13.75" style="6" customWidth="1"/>
    <col min="15" max="16" width="6.75" style="6" customWidth="1"/>
    <col min="17" max="17" width="9.75" style="6" bestFit="1" customWidth="1"/>
    <col min="18" max="18" width="11.25" style="6"/>
    <col min="19" max="19" width="22.25" style="6" hidden="1" customWidth="1"/>
    <col min="20" max="20" width="11.25" style="6" hidden="1" customWidth="1"/>
    <col min="21" max="21" width="9.25" style="6" bestFit="1" customWidth="1"/>
    <col min="22" max="16384" width="11.25" style="6"/>
  </cols>
  <sheetData>
    <row r="1" spans="1:21" s="25" customFormat="1" ht="30" customHeight="1" thickBot="1">
      <c r="A1" s="52" t="s">
        <v>0</v>
      </c>
      <c r="Q1" s="58"/>
      <c r="S1" s="74" t="s">
        <v>1</v>
      </c>
      <c r="T1" s="74" t="s">
        <v>2</v>
      </c>
    </row>
    <row r="2" spans="1:21" s="26" customFormat="1" ht="19.899999999999999" customHeight="1" thickTop="1">
      <c r="A2" s="49" t="s">
        <v>3</v>
      </c>
      <c r="D2" s="29" t="s">
        <v>4</v>
      </c>
      <c r="E2" s="30" t="str">
        <f>Automation!C3</f>
        <v>GGZ2_ggz2</v>
      </c>
      <c r="F2" s="40"/>
      <c r="G2" s="40"/>
      <c r="H2" s="38"/>
      <c r="I2" s="29" t="s">
        <v>6</v>
      </c>
      <c r="J2" s="30" t="str">
        <f>Automation!F10</f>
        <v>p_onboarding</v>
      </c>
      <c r="K2" s="40"/>
      <c r="L2" s="40"/>
      <c r="M2" s="40"/>
      <c r="N2" s="38"/>
      <c r="O2" s="38"/>
      <c r="P2" s="38"/>
      <c r="Q2" s="38"/>
      <c r="S2" s="75" t="s">
        <v>7</v>
      </c>
      <c r="T2" s="75" t="b">
        <v>1</v>
      </c>
    </row>
    <row r="3" spans="1:21" s="26" customFormat="1" ht="19.899999999999999" customHeight="1">
      <c r="A3" s="32"/>
      <c r="B3" s="33"/>
      <c r="D3" s="31" t="s">
        <v>8</v>
      </c>
      <c r="E3" s="41" t="str">
        <f>Automation!F8</f>
        <v>cin1c</v>
      </c>
      <c r="F3" s="43"/>
      <c r="G3" s="43"/>
      <c r="H3" s="38"/>
      <c r="I3" s="31" t="s">
        <v>9</v>
      </c>
      <c r="J3" s="41">
        <f>Automation!F11</f>
        <v>8</v>
      </c>
      <c r="K3" s="42"/>
      <c r="L3" s="43"/>
      <c r="M3" s="43"/>
      <c r="N3" s="38"/>
      <c r="O3" s="38"/>
      <c r="P3" s="38"/>
      <c r="Q3" s="38"/>
      <c r="S3" s="72" t="s">
        <v>10</v>
      </c>
      <c r="T3" s="72" t="b">
        <v>0</v>
      </c>
    </row>
    <row r="4" spans="1:21" s="27" customFormat="1" ht="19.899999999999999" customHeight="1" thickBot="1">
      <c r="A4" s="32"/>
      <c r="B4" s="33"/>
      <c r="D4" s="29" t="s">
        <v>11</v>
      </c>
      <c r="E4" s="48" t="str">
        <f>Automation!F9</f>
        <v>ggz</v>
      </c>
      <c r="F4" s="46"/>
      <c r="G4" s="46"/>
      <c r="H4" s="39"/>
      <c r="I4" s="31" t="s">
        <v>12</v>
      </c>
      <c r="J4" s="44" t="str">
        <f>Automation!F12</f>
        <v>10.11.22 - 12.01.23</v>
      </c>
      <c r="K4" s="45"/>
      <c r="L4" s="46"/>
      <c r="M4" s="46"/>
      <c r="N4" s="47"/>
      <c r="O4" s="47"/>
      <c r="P4" s="47"/>
      <c r="Q4" s="47"/>
      <c r="S4" s="73" t="s">
        <v>13</v>
      </c>
      <c r="T4"/>
      <c r="U4"/>
    </row>
    <row r="5" spans="1:21" s="26" customFormat="1" ht="25.15" customHeight="1" thickTop="1" thickBot="1">
      <c r="C5" s="34"/>
      <c r="D5" s="105" t="s">
        <v>14</v>
      </c>
      <c r="E5" s="106"/>
      <c r="F5" s="106"/>
      <c r="G5" s="107" t="s">
        <v>15</v>
      </c>
      <c r="H5" s="108"/>
      <c r="I5" s="108"/>
      <c r="J5" s="109" t="s">
        <v>16</v>
      </c>
      <c r="K5" s="110"/>
      <c r="L5" s="110"/>
      <c r="M5" s="111" t="s">
        <v>17</v>
      </c>
      <c r="N5" s="112"/>
      <c r="O5" s="112"/>
      <c r="P5" s="69" t="s">
        <v>2</v>
      </c>
      <c r="Q5" s="51" t="s">
        <v>18</v>
      </c>
      <c r="S5" s="72" t="s">
        <v>19</v>
      </c>
      <c r="T5"/>
      <c r="U5"/>
    </row>
    <row r="6" spans="1:21" s="35" customFormat="1" ht="75" customHeight="1" thickTop="1">
      <c r="A6" s="113" t="s">
        <v>20</v>
      </c>
      <c r="B6" s="116" t="s">
        <v>21</v>
      </c>
      <c r="C6" s="65" t="s">
        <v>22</v>
      </c>
      <c r="D6" s="76" t="s">
        <v>23</v>
      </c>
      <c r="E6" s="77" t="s">
        <v>24</v>
      </c>
      <c r="F6" s="78"/>
      <c r="G6" s="82" t="s">
        <v>23</v>
      </c>
      <c r="H6" s="83" t="s">
        <v>25</v>
      </c>
      <c r="I6" s="84" t="s">
        <v>10</v>
      </c>
      <c r="J6" s="88" t="s">
        <v>23</v>
      </c>
      <c r="K6" s="89" t="s">
        <v>26</v>
      </c>
      <c r="L6" s="90"/>
      <c r="M6" s="94" t="s">
        <v>23</v>
      </c>
      <c r="N6" s="95" t="s">
        <v>27</v>
      </c>
      <c r="O6" s="96"/>
      <c r="P6" s="70" t="b">
        <v>0</v>
      </c>
      <c r="Q6" s="66" t="str" cm="1">
        <f t="array" ref="Q6">IF(P6=cst_ignore_VRAI,cst_ignore,IF(COUNTA(F6,I6,L6,O6)&gt;1,cst_ERR,CONCATENATE(F6,I6,L6,O6)))</f>
        <v>A</v>
      </c>
      <c r="S6" s="73" t="s">
        <v>28</v>
      </c>
      <c r="T6"/>
      <c r="U6"/>
    </row>
    <row r="7" spans="1:21" s="35" customFormat="1" ht="75" customHeight="1">
      <c r="A7" s="114"/>
      <c r="B7" s="117"/>
      <c r="C7" s="64" t="s">
        <v>29</v>
      </c>
      <c r="D7" s="76" t="s">
        <v>23</v>
      </c>
      <c r="E7" s="77" t="s">
        <v>24</v>
      </c>
      <c r="F7" s="78"/>
      <c r="G7" s="82" t="s">
        <v>23</v>
      </c>
      <c r="H7" s="83" t="s">
        <v>25</v>
      </c>
      <c r="I7" s="84" t="s">
        <v>10</v>
      </c>
      <c r="J7" s="88" t="s">
        <v>23</v>
      </c>
      <c r="K7" s="89" t="s">
        <v>26</v>
      </c>
      <c r="L7" s="90"/>
      <c r="M7" s="94" t="s">
        <v>23</v>
      </c>
      <c r="N7" s="95" t="s">
        <v>27</v>
      </c>
      <c r="O7" s="96"/>
      <c r="P7" s="70" t="b">
        <v>0</v>
      </c>
      <c r="Q7" s="66" t="str" cm="1">
        <f t="array" ref="Q7">IF(P7=cst_ignore_VRAI,cst_ignore,IF(COUNTA(F7,I7,L7,O7)&gt;1,cst_ERR,CONCATENATE(F7,I7,L7,O7)))</f>
        <v>A</v>
      </c>
    </row>
    <row r="8" spans="1:21" s="35" customFormat="1" ht="75" customHeight="1">
      <c r="A8" s="114"/>
      <c r="B8" s="117"/>
      <c r="C8" s="64" t="s">
        <v>30</v>
      </c>
      <c r="D8" s="76" t="s">
        <v>23</v>
      </c>
      <c r="E8" s="77" t="s">
        <v>24</v>
      </c>
      <c r="F8" s="78"/>
      <c r="G8" s="82" t="s">
        <v>23</v>
      </c>
      <c r="H8" s="83" t="s">
        <v>25</v>
      </c>
      <c r="I8" s="84" t="s">
        <v>10</v>
      </c>
      <c r="J8" s="88" t="s">
        <v>23</v>
      </c>
      <c r="K8" s="89" t="s">
        <v>26</v>
      </c>
      <c r="L8" s="90"/>
      <c r="M8" s="94" t="s">
        <v>23</v>
      </c>
      <c r="N8" s="95" t="s">
        <v>27</v>
      </c>
      <c r="O8" s="96"/>
      <c r="P8" s="70" t="b">
        <v>0</v>
      </c>
      <c r="Q8" s="66" t="str" cm="1">
        <f t="array" ref="Q8">IF(P8=cst_ignore_VRAI,cst_ignore,IF(COUNTA(F8,I8,L8,O8)&gt;1,cst_ERR,CONCATENATE(F8,I8,L8,O8)))</f>
        <v>A</v>
      </c>
    </row>
    <row r="9" spans="1:21" s="35" customFormat="1" ht="75" customHeight="1">
      <c r="A9" s="114"/>
      <c r="B9" s="118"/>
      <c r="C9" s="64" t="s">
        <v>31</v>
      </c>
      <c r="D9" s="76" t="s">
        <v>23</v>
      </c>
      <c r="E9" s="77" t="s">
        <v>24</v>
      </c>
      <c r="F9" s="78"/>
      <c r="G9" s="82" t="s">
        <v>23</v>
      </c>
      <c r="H9" s="83" t="s">
        <v>25</v>
      </c>
      <c r="I9" s="84" t="s">
        <v>10</v>
      </c>
      <c r="J9" s="88" t="s">
        <v>23</v>
      </c>
      <c r="K9" s="89" t="s">
        <v>26</v>
      </c>
      <c r="L9" s="90"/>
      <c r="M9" s="94" t="s">
        <v>23</v>
      </c>
      <c r="N9" s="95" t="s">
        <v>27</v>
      </c>
      <c r="O9" s="96"/>
      <c r="P9" s="70" t="b">
        <v>0</v>
      </c>
      <c r="Q9" s="66" t="str" cm="1">
        <f t="array" ref="Q9">IF(P9=cst_ignore_VRAI,cst_ignore,IF(COUNTA(F9,I9,L9,O9)&gt;1,cst_ERR,CONCATENATE(F9,I9,L9,O9)))</f>
        <v>A</v>
      </c>
    </row>
    <row r="10" spans="1:21" s="35" customFormat="1" ht="75" customHeight="1">
      <c r="A10" s="114"/>
      <c r="B10" s="119" t="s">
        <v>32</v>
      </c>
      <c r="C10" s="64" t="s">
        <v>33</v>
      </c>
      <c r="D10" s="76" t="s">
        <v>23</v>
      </c>
      <c r="E10" s="77" t="s">
        <v>24</v>
      </c>
      <c r="F10" s="78"/>
      <c r="G10" s="82" t="s">
        <v>23</v>
      </c>
      <c r="H10" s="83" t="s">
        <v>25</v>
      </c>
      <c r="I10" s="84" t="s">
        <v>10</v>
      </c>
      <c r="J10" s="88" t="s">
        <v>23</v>
      </c>
      <c r="K10" s="89" t="s">
        <v>26</v>
      </c>
      <c r="L10" s="90"/>
      <c r="M10" s="94" t="s">
        <v>23</v>
      </c>
      <c r="N10" s="95" t="s">
        <v>27</v>
      </c>
      <c r="O10" s="96"/>
      <c r="P10" s="70" t="b">
        <v>0</v>
      </c>
      <c r="Q10" s="66" t="str" cm="1">
        <f t="array" ref="Q10">IF(P10=cst_ignore_VRAI,cst_ignore,IF(COUNTA(F10,I10,L10,O10)&gt;1,cst_ERR,CONCATENATE(F10,I10,L10,O10)))</f>
        <v>A</v>
      </c>
    </row>
    <row r="11" spans="1:21" s="35" customFormat="1" ht="75" customHeight="1">
      <c r="A11" s="114"/>
      <c r="B11" s="120"/>
      <c r="C11" s="64" t="s">
        <v>34</v>
      </c>
      <c r="D11" s="76" t="s">
        <v>23</v>
      </c>
      <c r="E11" s="77" t="s">
        <v>24</v>
      </c>
      <c r="F11" s="78"/>
      <c r="G11" s="82" t="s">
        <v>23</v>
      </c>
      <c r="H11" s="83" t="s">
        <v>25</v>
      </c>
      <c r="I11" s="84" t="s">
        <v>10</v>
      </c>
      <c r="J11" s="88" t="s">
        <v>23</v>
      </c>
      <c r="K11" s="89" t="s">
        <v>26</v>
      </c>
      <c r="L11" s="90"/>
      <c r="M11" s="94" t="s">
        <v>23</v>
      </c>
      <c r="N11" s="95" t="s">
        <v>27</v>
      </c>
      <c r="O11" s="96"/>
      <c r="P11" s="70" t="b">
        <v>0</v>
      </c>
      <c r="Q11" s="66" t="str" cm="1">
        <f t="array" ref="Q11">IF(P11=cst_ignore_VRAI,cst_ignore,IF(COUNTA(F11,I11,L11,O11)&gt;1,cst_ERR,CONCATENATE(F11,I11,L11,O11)))</f>
        <v>A</v>
      </c>
      <c r="R11" s="68"/>
    </row>
    <row r="12" spans="1:21" s="35" customFormat="1" ht="75" customHeight="1">
      <c r="A12" s="114"/>
      <c r="B12" s="121"/>
      <c r="C12" s="64" t="s">
        <v>35</v>
      </c>
      <c r="D12" s="76" t="s">
        <v>23</v>
      </c>
      <c r="E12" s="77" t="s">
        <v>24</v>
      </c>
      <c r="F12" s="78"/>
      <c r="G12" s="82" t="s">
        <v>23</v>
      </c>
      <c r="H12" s="83" t="s">
        <v>25</v>
      </c>
      <c r="I12" s="84"/>
      <c r="J12" s="88" t="s">
        <v>23</v>
      </c>
      <c r="K12" s="89" t="s">
        <v>26</v>
      </c>
      <c r="L12" s="90"/>
      <c r="M12" s="94" t="s">
        <v>23</v>
      </c>
      <c r="N12" s="95" t="s">
        <v>27</v>
      </c>
      <c r="O12" s="96"/>
      <c r="P12" s="70" t="b">
        <v>1</v>
      </c>
      <c r="Q12" s="66" t="str" cm="1">
        <f t="array" ref="Q12">IF(P12=cst_ignore_VRAI,cst_ignore,IF(COUNTA(F12,I12,L12,O12)&gt;1,cst_ERR,CONCATENATE(F12,I12,L12,O12)))</f>
        <v>Ignoré</v>
      </c>
    </row>
    <row r="13" spans="1:21" s="35" customFormat="1" ht="75" customHeight="1" thickBot="1">
      <c r="A13" s="115"/>
      <c r="B13" s="62" t="s">
        <v>36</v>
      </c>
      <c r="C13" s="63" t="s">
        <v>37</v>
      </c>
      <c r="D13" s="79" t="s">
        <v>23</v>
      </c>
      <c r="E13" s="80" t="s">
        <v>24</v>
      </c>
      <c r="F13" s="81"/>
      <c r="G13" s="85" t="s">
        <v>23</v>
      </c>
      <c r="H13" s="86" t="s">
        <v>25</v>
      </c>
      <c r="I13" s="87"/>
      <c r="J13" s="91" t="s">
        <v>23</v>
      </c>
      <c r="K13" s="92" t="s">
        <v>26</v>
      </c>
      <c r="L13" s="93"/>
      <c r="M13" s="97" t="s">
        <v>23</v>
      </c>
      <c r="N13" s="98" t="s">
        <v>27</v>
      </c>
      <c r="O13" s="99"/>
      <c r="P13" s="71" t="b">
        <v>1</v>
      </c>
      <c r="Q13" s="67" t="str" cm="1">
        <f t="array" ref="Q13">IF(P13=cst_ignore_VRAI,cst_ignore,IF(COUNTA(F13,I13,L13,O13)&gt;1,cst_ERR,CONCATENATE(F13,I13,L13,O13)))</f>
        <v>Ignoré</v>
      </c>
    </row>
    <row r="14" spans="1:21" s="26" customFormat="1" ht="25.15" customHeight="1" thickTop="1">
      <c r="A14" s="27" t="s">
        <v>38</v>
      </c>
      <c r="L14" s="27"/>
      <c r="M14" s="27"/>
      <c r="N14" s="36"/>
      <c r="O14" s="100" t="s">
        <v>39</v>
      </c>
      <c r="P14" s="61"/>
      <c r="Q14" s="37"/>
    </row>
    <row r="15" spans="1:21" s="26" customFormat="1" ht="30" customHeight="1">
      <c r="A15" s="123" t="s">
        <v>40</v>
      </c>
      <c r="B15" s="124"/>
      <c r="C15" s="124"/>
      <c r="D15" s="124"/>
      <c r="E15" s="124"/>
      <c r="F15" s="124"/>
      <c r="G15" s="124"/>
      <c r="H15" s="124"/>
      <c r="J15" s="101" t="s">
        <v>41</v>
      </c>
      <c r="K15" s="101"/>
      <c r="L15" s="104">
        <v>44938</v>
      </c>
      <c r="M15" s="104"/>
      <c r="N15" s="104"/>
      <c r="O15" s="100"/>
      <c r="P15" s="61"/>
    </row>
    <row r="16" spans="1:21" s="26" customFormat="1" ht="30" customHeight="1">
      <c r="A16" s="126" t="s">
        <v>64</v>
      </c>
      <c r="B16" s="124"/>
      <c r="C16" s="124"/>
      <c r="D16" s="124"/>
      <c r="E16" s="124"/>
      <c r="F16" s="124"/>
      <c r="G16" s="124"/>
      <c r="H16" s="124"/>
      <c r="J16" s="102" t="s">
        <v>43</v>
      </c>
      <c r="K16" s="102"/>
      <c r="L16" s="103"/>
      <c r="M16" s="103"/>
      <c r="N16" s="103"/>
      <c r="O16" s="50"/>
      <c r="P16" s="50"/>
      <c r="Q16" s="59"/>
    </row>
    <row r="17" spans="1:17" s="26" customFormat="1" ht="30" customHeight="1" thickBot="1">
      <c r="A17" s="126" t="s">
        <v>65</v>
      </c>
      <c r="B17" s="124"/>
      <c r="C17" s="124"/>
      <c r="D17" s="124"/>
      <c r="E17" s="124"/>
      <c r="F17" s="124"/>
      <c r="G17" s="124"/>
      <c r="H17" s="124"/>
      <c r="K17" s="29" t="s">
        <v>45</v>
      </c>
      <c r="L17" s="103" t="s">
        <v>66</v>
      </c>
      <c r="M17" s="103"/>
      <c r="N17" s="103"/>
      <c r="Q17" s="28"/>
    </row>
    <row r="18" spans="1:17" s="26" customFormat="1" ht="30" customHeight="1" thickBot="1">
      <c r="A18" s="123" t="s">
        <v>46</v>
      </c>
      <c r="B18" s="124"/>
      <c r="C18" s="124"/>
      <c r="D18" s="124"/>
      <c r="E18" s="124"/>
      <c r="F18" s="124"/>
      <c r="G18" s="124"/>
      <c r="H18" s="124"/>
      <c r="N18" s="26" t="s">
        <v>47</v>
      </c>
      <c r="Q18" s="60" t="str">
        <f>IF(COUNTIF(Q6:Q13,cst_ERR)&gt;0,cst_ERR,IF(COUNTIF(Q6:Q13,cst_NA)&gt;0,cst_NA,IF(COUNTIF(Q6:Q13,cst_PA)&gt;0,cst_PA,IF(COUNTIF(Q6:Q13,cst_A)&gt;=COUNTIF(Q6:Q13,cst_LA),IF(COUNTIF(Q6:Q13,cst_A)=0,"",cst_A),cst_LA))))</f>
        <v>A</v>
      </c>
    </row>
    <row r="19" spans="1:17" ht="20.45" hidden="1">
      <c r="K19" s="122"/>
      <c r="L19" s="122"/>
      <c r="M19" s="122"/>
    </row>
    <row r="20" spans="1:17"/>
    <row r="22" spans="1:17" ht="13.9" hidden="1">
      <c r="A22" s="57" t="s">
        <v>48</v>
      </c>
    </row>
    <row r="23" spans="1:17" hidden="1">
      <c r="A23" s="53">
        <v>1</v>
      </c>
    </row>
    <row r="24" spans="1:17" hidden="1">
      <c r="A24" s="53">
        <v>1.5</v>
      </c>
    </row>
    <row r="25" spans="1:17" hidden="1">
      <c r="A25" s="53">
        <v>2</v>
      </c>
    </row>
    <row r="26" spans="1:17" hidden="1">
      <c r="A26" s="54">
        <v>2.5</v>
      </c>
    </row>
    <row r="27" spans="1:17" hidden="1">
      <c r="A27" s="54">
        <v>3</v>
      </c>
    </row>
    <row r="28" spans="1:17" hidden="1">
      <c r="A28" s="54">
        <v>3.5</v>
      </c>
    </row>
    <row r="29" spans="1:17" hidden="1">
      <c r="A29" s="56">
        <v>4</v>
      </c>
    </row>
    <row r="30" spans="1:17" hidden="1">
      <c r="A30" s="56">
        <v>4.5</v>
      </c>
    </row>
    <row r="31" spans="1:17" hidden="1">
      <c r="A31" s="56">
        <v>5</v>
      </c>
    </row>
    <row r="32" spans="1:17" hidden="1">
      <c r="A32" s="55">
        <v>5.5</v>
      </c>
    </row>
    <row r="33" spans="1:1" hidden="1">
      <c r="A33" s="55">
        <v>6</v>
      </c>
    </row>
  </sheetData>
  <sheetProtection sheet="1" objects="1" scenarios="1" formatCells="0" formatColumns="0" formatRows="0" selectLockedCells="1"/>
  <mergeCells count="18">
    <mergeCell ref="D5:F5"/>
    <mergeCell ref="G5:I5"/>
    <mergeCell ref="J5:L5"/>
    <mergeCell ref="M5:O5"/>
    <mergeCell ref="A6:A13"/>
    <mergeCell ref="B6:B9"/>
    <mergeCell ref="B10:B12"/>
    <mergeCell ref="A17:H17"/>
    <mergeCell ref="L17:N17"/>
    <mergeCell ref="A18:H18"/>
    <mergeCell ref="K19:M19"/>
    <mergeCell ref="O14:O15"/>
    <mergeCell ref="A15:H15"/>
    <mergeCell ref="J15:K15"/>
    <mergeCell ref="L15:N15"/>
    <mergeCell ref="A16:H16"/>
    <mergeCell ref="J16:K16"/>
    <mergeCell ref="L16:N16"/>
  </mergeCells>
  <conditionalFormatting sqref="Q18">
    <cfRule type="cellIs" dxfId="11" priority="1" operator="equal">
      <formula>cst_LA</formula>
    </cfRule>
    <cfRule type="cellIs" dxfId="10" priority="2" operator="equal">
      <formula>cst_A</formula>
    </cfRule>
    <cfRule type="cellIs" dxfId="9" priority="3" operator="equal">
      <formula>cst_PA</formula>
    </cfRule>
    <cfRule type="cellIs" dxfId="8" priority="10" operator="equal">
      <formula>cst_NA</formula>
    </cfRule>
    <cfRule type="cellIs" dxfId="7" priority="11" operator="equal">
      <formula>cst_ERR</formula>
    </cfRule>
  </conditionalFormatting>
  <conditionalFormatting sqref="C6:Q13">
    <cfRule type="expression" dxfId="6" priority="4" stopIfTrue="1">
      <formula>IF($Q6=cst_ignore,"VRAI","FAUX")</formula>
    </cfRule>
  </conditionalFormatting>
  <conditionalFormatting sqref="Q6:Q13">
    <cfRule type="expression" dxfId="5" priority="5">
      <formula>IF($Q6=cst_LA,"VRAI","FAUX")</formula>
    </cfRule>
    <cfRule type="expression" dxfId="4" priority="9">
      <formula>IF($Q6=cst_ERR,"VRAI","FAUX")</formula>
    </cfRule>
  </conditionalFormatting>
  <conditionalFormatting sqref="Q6:Q13">
    <cfRule type="expression" dxfId="3" priority="6">
      <formula>IF($Q6=cst_A,"VRAI","FAUX")</formula>
    </cfRule>
    <cfRule type="expression" dxfId="2" priority="7">
      <formula>IF($Q6=cst_PA,"VRAI","FAUX")</formula>
    </cfRule>
    <cfRule type="expression" dxfId="1" priority="8">
      <formula>IF($Q6=cst_NA,"VRAI","FAUX")</formula>
    </cfRule>
  </conditionalFormatting>
  <conditionalFormatting sqref="C13:Q13">
    <cfRule type="expression" dxfId="0" priority="12" stopIfTrue="1">
      <formula>IF($Q13=$T$1,"VRAI","FAUX")</formula>
    </cfRule>
  </conditionalFormatting>
  <dataValidations count="5">
    <dataValidation type="list" allowBlank="1" showInputMessage="1" showErrorMessage="1" sqref="P6:P13" xr:uid="{B1CD497E-9DD8-453B-8DF9-87C45199FE94}">
      <formula1>$T$2:$T$3</formula1>
    </dataValidation>
    <dataValidation type="list" allowBlank="1" showInputMessage="1" showErrorMessage="1" sqref="O6:O13" xr:uid="{850090F3-4C99-473B-B617-CA33E25B1762}">
      <formula1>$S$5</formula1>
    </dataValidation>
    <dataValidation type="list" allowBlank="1" showInputMessage="1" showErrorMessage="1" sqref="L6:L13" xr:uid="{5B7BA8DC-EB2C-4286-ABD9-5D6C74C8962A}">
      <formula1>$S$4</formula1>
    </dataValidation>
    <dataValidation type="list" allowBlank="1" showInputMessage="1" showErrorMessage="1" sqref="I6:I13" xr:uid="{5AE5FAB6-C742-405D-AFB0-1E79F3153B0D}">
      <formula1>$S$3</formula1>
    </dataValidation>
    <dataValidation type="list" allowBlank="1" showInputMessage="1" showErrorMessage="1" sqref="F6:F13" xr:uid="{4EE0769F-B803-4C0D-B76C-E360E3957C53}">
      <formula1>$S$2</formula1>
    </dataValidation>
  </dataValidations>
  <printOptions horizontalCentered="1" verticalCentered="1"/>
  <pageMargins left="0.27559055118110237" right="0.27559055118110237" top="0.39370078740157483" bottom="0.39370078740157483" header="0.19685039370078741" footer="0.19685039370078741"/>
  <pageSetup paperSize="9" scale="60" orientation="landscape" r:id="rId1"/>
  <headerFooter alignWithMargins="0">
    <oddHeader>&amp;L&amp;"ETML L,Normal"ETML&amp;R&amp;G</oddHeader>
    <oddFooter>&amp;L&amp;8&amp;D&amp;C&amp;8&amp;F  -  &amp;A&amp;R&amp;8Page &amp;P/&amp;N</oddFooter>
  </headerFooter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B49A8D-C0A4-4592-A99E-4AE7A899B2F8}"/>
</file>

<file path=customXml/itemProps2.xml><?xml version="1.0" encoding="utf-8"?>
<ds:datastoreItem xmlns:ds="http://schemas.openxmlformats.org/officeDocument/2006/customXml" ds:itemID="{D1D83521-89CD-446E-8D57-4756DAC68023}"/>
</file>

<file path=customXml/itemProps3.xml><?xml version="1.0" encoding="utf-8"?>
<ds:datastoreItem xmlns:ds="http://schemas.openxmlformats.org/officeDocument/2006/customXml" ds:itemID="{F9D622E9-F215-41F0-99B0-F1258971AFD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ETML Lausanne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Feuille d'évaluation de projet</dc:title>
  <dc:subject/>
  <dc:creator>Gilbert Gruaz</dc:creator>
  <cp:keywords/>
  <dc:description/>
  <cp:lastModifiedBy>Sylvain Philipona</cp:lastModifiedBy>
  <cp:revision/>
  <dcterms:created xsi:type="dcterms:W3CDTF">2004-01-13T09:53:52Z</dcterms:created>
  <dcterms:modified xsi:type="dcterms:W3CDTF">2023-01-23T14:10:06Z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