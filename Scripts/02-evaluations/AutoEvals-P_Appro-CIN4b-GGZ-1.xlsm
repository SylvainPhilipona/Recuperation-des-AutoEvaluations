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E:\09-P_Appro\PS-Eval\Scripts\02-evaluations\"/>
    </mc:Choice>
  </mc:AlternateContent>
  <xr:revisionPtr revIDLastSave="0" documentId="8_{0A13675F-D8D8-42D9-9642-7FC1C775E3B0}" xr6:coauthVersionLast="45" xr6:coauthVersionMax="45" xr10:uidLastSave="{00000000-0000-0000-0000-000000000000}"/>
  <bookViews>
    <workbookView xWindow="3120" yWindow="3120" windowWidth="21600" windowHeight="11385" xr2:uid="{00000000-000D-0000-FFFF-FFFF00000000}"/>
  </bookViews>
  <sheets>
    <sheet name="Sylvain Philipona" sheetId="6" r:id="rId1"/>
    <sheet name="Sayeh Younes" sheetId="5" r:id="rId2"/>
    <sheet name="Nolan Praz" sheetId="4" r:id="rId3"/>
    <sheet name="Joca Bolli" sheetId="3" r:id="rId4"/>
    <sheet name="Dorian Capelli" sheetId="2" r:id="rId5"/>
    <sheet name="MASTER" sheetId="1" r:id="rId6"/>
  </sheets>
  <definedNames>
    <definedName name="CLASSE" localSheetId="3">'Joca Bolli'!$E$3</definedName>
    <definedName name="CLASSE" localSheetId="2">'Nolan Praz'!$E$3</definedName>
    <definedName name="CLASSE" localSheetId="1">'Sayeh Younes'!$E$3</definedName>
    <definedName name="CLASSE" localSheetId="0">'Sylvain Philipona'!$E$3</definedName>
    <definedName name="CLASSE">'Dorian Capelli'!$E$3</definedName>
    <definedName name="cst_A" localSheetId="3">'Joca Bolli'!$S$3</definedName>
    <definedName name="cst_A" localSheetId="2">'Nolan Praz'!$S$3</definedName>
    <definedName name="cst_A" localSheetId="1">'Sayeh Younes'!$S$3</definedName>
    <definedName name="cst_A" localSheetId="0">'Sylvain Philipona'!$S$3</definedName>
    <definedName name="cst_A">'Dorian Capelli'!$S$3</definedName>
    <definedName name="cst_ERR" localSheetId="3">'Joca Bolli'!$S$6</definedName>
    <definedName name="cst_ERR" localSheetId="2">'Nolan Praz'!$S$6</definedName>
    <definedName name="cst_ERR" localSheetId="1">'Sayeh Younes'!$S$6</definedName>
    <definedName name="cst_ERR" localSheetId="0">'Sylvain Philipona'!$S$6</definedName>
    <definedName name="cst_ERR">'Dorian Capelli'!$S$6</definedName>
    <definedName name="cst_ignore" localSheetId="3">'Joca Bolli'!$T$1</definedName>
    <definedName name="cst_ignore" localSheetId="2">'Nolan Praz'!$T$1</definedName>
    <definedName name="cst_ignore" localSheetId="1">'Sayeh Younes'!$T$1</definedName>
    <definedName name="cst_ignore" localSheetId="0">'Sylvain Philipona'!$T$1</definedName>
    <definedName name="cst_ignore">'Dorian Capelli'!$T$1</definedName>
    <definedName name="cst_ignore_FAUX" localSheetId="3">'Joca Bolli'!$T$3</definedName>
    <definedName name="cst_ignore_FAUX" localSheetId="2">'Nolan Praz'!$T$3</definedName>
    <definedName name="cst_ignore_FAUX" localSheetId="1">'Sayeh Younes'!$T$3</definedName>
    <definedName name="cst_ignore_FAUX" localSheetId="0">'Sylvain Philipona'!$T$3</definedName>
    <definedName name="cst_ignore_FAUX">'Dorian Capelli'!$T$3</definedName>
    <definedName name="cst_ignore_VRAI" localSheetId="3">'Joca Bolli'!$T$2</definedName>
    <definedName name="cst_ignore_VRAI" localSheetId="2">'Nolan Praz'!$T$2</definedName>
    <definedName name="cst_ignore_VRAI" localSheetId="1">'Sayeh Younes'!$T$2</definedName>
    <definedName name="cst_ignore_VRAI" localSheetId="0">'Sylvain Philipona'!$T$2</definedName>
    <definedName name="cst_ignore_VRAI">'Dorian Capelli'!$T$2</definedName>
    <definedName name="cst_LA" localSheetId="3">'Joca Bolli'!$S$2</definedName>
    <definedName name="cst_LA" localSheetId="2">'Nolan Praz'!$S$2</definedName>
    <definedName name="cst_LA" localSheetId="1">'Sayeh Younes'!$S$2</definedName>
    <definedName name="cst_LA" localSheetId="0">'Sylvain Philipona'!$S$2</definedName>
    <definedName name="cst_LA">'Dorian Capelli'!$S$2</definedName>
    <definedName name="cst_NA" localSheetId="3">'Joca Bolli'!$S$5</definedName>
    <definedName name="cst_NA" localSheetId="2">'Nolan Praz'!$S$5</definedName>
    <definedName name="cst_NA" localSheetId="1">'Sayeh Younes'!$S$5</definedName>
    <definedName name="cst_NA" localSheetId="0">'Sylvain Philipona'!$S$5</definedName>
    <definedName name="cst_NA">'Dorian Capelli'!$S$5</definedName>
    <definedName name="cst_PA" localSheetId="3">'Joca Bolli'!$S$4</definedName>
    <definedName name="cst_PA" localSheetId="2">'Nolan Praz'!$S$4</definedName>
    <definedName name="cst_PA" localSheetId="1">'Sayeh Younes'!$S$4</definedName>
    <definedName name="cst_PA" localSheetId="0">'Sylvain Philipona'!$S$4</definedName>
    <definedName name="cst_PA">'Dorian Capelli'!$S$4</definedName>
    <definedName name="DATES" localSheetId="3">'Joca Bolli'!$J$4</definedName>
    <definedName name="DATES" localSheetId="2">'Nolan Praz'!$J$4</definedName>
    <definedName name="DATES" localSheetId="1">'Sayeh Younes'!$J$4</definedName>
    <definedName name="DATES" localSheetId="0">'Sylvain Philipona'!$J$4</definedName>
    <definedName name="DATES">'Dorian Capelli'!$J$4</definedName>
    <definedName name="FINALNOTE" localSheetId="3">'Joca Bolli'!$Q$18</definedName>
    <definedName name="FINALNOTE" localSheetId="2">'Nolan Praz'!$Q$18</definedName>
    <definedName name="FINALNOTE" localSheetId="1">'Sayeh Younes'!$Q$18</definedName>
    <definedName name="FINALNOTE" localSheetId="0">'Sylvain Philipona'!$Q$18</definedName>
    <definedName name="FINALNOTE">'Dorian Capelli'!$Q$18</definedName>
    <definedName name="NAME" localSheetId="3">'Joca Bolli'!$E$2</definedName>
    <definedName name="NAME" localSheetId="2">'Nolan Praz'!$E$2</definedName>
    <definedName name="NAME" localSheetId="1">'Sayeh Younes'!$E$2</definedName>
    <definedName name="NAME" localSheetId="0">'Sylvain Philipona'!$E$2</definedName>
    <definedName name="NAME">'Dorian Capelli'!$E$2</definedName>
    <definedName name="NBWEEKS" localSheetId="3">'Joca Bolli'!$J$3</definedName>
    <definedName name="NBWEEKS" localSheetId="2">'Nolan Praz'!$J$3</definedName>
    <definedName name="NBWEEKS" localSheetId="1">'Sayeh Younes'!$J$3</definedName>
    <definedName name="NBWEEKS" localSheetId="0">'Sylvain Philipona'!$J$3</definedName>
    <definedName name="NBWEEKS">'Dorian Capelli'!$J$3</definedName>
    <definedName name="Print_Area" localSheetId="4">'Dorian Capelli'!$A$1:$Q$18</definedName>
    <definedName name="Print_Area" localSheetId="3">'Joca Bolli'!$A$1:$Q$18</definedName>
    <definedName name="Print_Area" localSheetId="2">'Nolan Praz'!$A$1:$Q$18</definedName>
    <definedName name="Print_Area" localSheetId="1">'Sayeh Younes'!$A$1:$Q$18</definedName>
    <definedName name="Print_Area" localSheetId="0">'Sylvain Philipona'!$A$1:$Q$18</definedName>
    <definedName name="PROJECTNAME" localSheetId="3">'Joca Bolli'!$J$2</definedName>
    <definedName name="PROJECTNAME" localSheetId="2">'Nolan Praz'!$J$2</definedName>
    <definedName name="PROJECTNAME" localSheetId="1">'Sayeh Younes'!$J$2</definedName>
    <definedName name="PROJECTNAME" localSheetId="0">'Sylvain Philipona'!$J$2</definedName>
    <definedName name="PROJECTNAME">'Dorian Capelli'!$J$2</definedName>
    <definedName name="TEACHER" localSheetId="3">'Joca Bolli'!$E$4</definedName>
    <definedName name="TEACHER" localSheetId="2">'Nolan Praz'!$E$4</definedName>
    <definedName name="TEACHER" localSheetId="1">'Sayeh Younes'!$E$4</definedName>
    <definedName name="TEACHER" localSheetId="0">'Sylvain Philipona'!$E$4</definedName>
    <definedName name="TEACHER">'Dorian Capelli'!$E$4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3" i="6" l="1"/>
  <c r="Q13" i="6" a="1"/>
  <c r="Q12" i="6" a="1"/>
  <c r="Q12" i="6" s="1"/>
  <c r="Q11" i="6" a="1"/>
  <c r="Q11" i="6" s="1"/>
  <c r="Q10" i="6" a="1"/>
  <c r="Q10" i="6" s="1"/>
  <c r="Q9" i="6" a="1"/>
  <c r="Q9" i="6" s="1"/>
  <c r="Q8" i="6" a="1"/>
  <c r="Q8" i="6" s="1"/>
  <c r="Q7" i="6" a="1"/>
  <c r="Q7" i="6" s="1"/>
  <c r="Q6" i="6" a="1"/>
  <c r="Q6" i="6" s="1"/>
  <c r="Q18" i="6" s="1"/>
  <c r="Q13" i="5" l="1" a="1"/>
  <c r="Q13" i="5" s="1"/>
  <c r="Q12" i="5" a="1"/>
  <c r="Q12" i="5" s="1"/>
  <c r="Q11" i="5" a="1"/>
  <c r="Q11" i="5" s="1"/>
  <c r="Q10" i="5" a="1"/>
  <c r="Q10" i="5" s="1"/>
  <c r="Q9" i="5" a="1"/>
  <c r="Q9" i="5" s="1"/>
  <c r="Q8" i="5" a="1"/>
  <c r="Q8" i="5" s="1"/>
  <c r="Q7" i="5" a="1"/>
  <c r="Q7" i="5" s="1"/>
  <c r="Q6" i="5" a="1"/>
  <c r="Q6" i="5" s="1"/>
  <c r="Q18" i="5" s="1"/>
  <c r="Q13" i="4" l="1" a="1"/>
  <c r="Q13" i="4" s="1"/>
  <c r="Q12" i="4" a="1"/>
  <c r="Q12" i="4" s="1"/>
  <c r="Q11" i="4" a="1"/>
  <c r="Q11" i="4" s="1"/>
  <c r="Q10" i="4" a="1"/>
  <c r="Q10" i="4" s="1"/>
  <c r="Q9" i="4" a="1"/>
  <c r="Q9" i="4" s="1"/>
  <c r="Q8" i="4" a="1"/>
  <c r="Q8" i="4" s="1"/>
  <c r="Q7" i="4" a="1"/>
  <c r="Q7" i="4" s="1"/>
  <c r="Q6" i="4" a="1"/>
  <c r="Q6" i="4" s="1"/>
  <c r="Q18" i="4" s="1"/>
  <c r="Q13" i="3" l="1" a="1"/>
  <c r="Q13" i="3" s="1"/>
  <c r="Q12" i="3" a="1"/>
  <c r="Q12" i="3" s="1"/>
  <c r="Q11" i="3" a="1"/>
  <c r="Q11" i="3" s="1"/>
  <c r="Q10" i="3" a="1"/>
  <c r="Q10" i="3" s="1"/>
  <c r="Q9" i="3" a="1"/>
  <c r="Q9" i="3" s="1"/>
  <c r="Q8" i="3" a="1"/>
  <c r="Q8" i="3" s="1"/>
  <c r="Q7" i="3" a="1"/>
  <c r="Q7" i="3" s="1"/>
  <c r="Q6" i="3" a="1"/>
  <c r="Q6" i="3" s="1"/>
  <c r="Q18" i="3" l="1"/>
  <c r="Q13" i="2" a="1"/>
  <c r="Q13" i="2" s="1"/>
  <c r="Q12" i="2" a="1"/>
  <c r="Q12" i="2" s="1"/>
  <c r="Q11" i="2" a="1"/>
  <c r="Q11" i="2" s="1"/>
  <c r="Q10" i="2" a="1"/>
  <c r="Q10" i="2" s="1"/>
  <c r="Q9" i="2" a="1"/>
  <c r="Q9" i="2" s="1"/>
  <c r="Q8" i="2" a="1"/>
  <c r="Q8" i="2" s="1"/>
  <c r="Q7" i="2" a="1"/>
  <c r="Q7" i="2" s="1"/>
  <c r="Q6" i="2" a="1"/>
  <c r="Q6" i="2" s="1"/>
  <c r="Q18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<sst xmlns="http://schemas.openxmlformats.org/spreadsheetml/2006/main" count="558" uniqueCount="58">
  <si>
    <t>Eleve</t>
  </si>
  <si>
    <t>Evaluation rendue</t>
  </si>
  <si>
    <t>Note Finale</t>
  </si>
  <si>
    <t xml:space="preserve">ÉVALUATION DES COMPÉTENCES EN PRATIQUE POUR LA FORMATION </t>
  </si>
  <si>
    <t>Niveau d'acquisition</t>
  </si>
  <si>
    <t>Ignoré</t>
  </si>
  <si>
    <t>INFORMATICIEN-NE</t>
  </si>
  <si>
    <t>Nom et Prénom :</t>
  </si>
  <si>
    <t>Dorian Capelli</t>
  </si>
  <si>
    <t>Nom du projet :</t>
  </si>
  <si>
    <t>P_Appro</t>
  </si>
  <si>
    <t>LA</t>
  </si>
  <si>
    <t>Année de formation - classe :</t>
  </si>
  <si>
    <t>CIN4b</t>
  </si>
  <si>
    <t>Semaines :</t>
  </si>
  <si>
    <t>A</t>
  </si>
  <si>
    <t>Enseignant :</t>
  </si>
  <si>
    <t>Gilbert Gruaz</t>
  </si>
  <si>
    <t>Dates :</t>
  </si>
  <si>
    <t>2023.01.23-2023.03.24</t>
  </si>
  <si>
    <t>PA</t>
  </si>
  <si>
    <t>LARGEMENT ACQUIS</t>
  </si>
  <si>
    <t>ACQUIS</t>
  </si>
  <si>
    <t>PARTIELLEMENT ACQUIS</t>
  </si>
  <si>
    <t>NON ACQUIS</t>
  </si>
  <si>
    <t>Résultat</t>
  </si>
  <si>
    <t>NA</t>
  </si>
  <si>
    <t>Compétences</t>
  </si>
  <si>
    <t>PROFESSIONNELLES</t>
  </si>
  <si>
    <t xml:space="preserve">
° Garantit les délais
° Travaille rapidement
</t>
  </si>
  <si>
    <t>o</t>
  </si>
  <si>
    <t>Parfaitement</t>
  </si>
  <si>
    <t>A peu près</t>
  </si>
  <si>
    <t>Pas assez</t>
  </si>
  <si>
    <t>Pas du tout</t>
  </si>
  <si>
    <t>ERR</t>
  </si>
  <si>
    <t xml:space="preserve">
° Produit un travail parfaitement utilisable 
° Produit un travail transmissible 
° Produit un travail sans nécessité de retouches
</t>
  </si>
  <si>
    <t xml:space="preserve">
° Maîtrise les aspects techniques 
</t>
  </si>
  <si>
    <t xml:space="preserve">
° Travaille de façon autonome
° Se montre indépendant
</t>
  </si>
  <si>
    <t>Méthodologie</t>
  </si>
  <si>
    <t xml:space="preserve">
° Intègre les règles et les processus de travail
</t>
  </si>
  <si>
    <t xml:space="preserve">
° Maîtrise les différents moyens de communication (oral et/ou écrit)
° Produit de la documentation de façon professionnelle
° Tient à jour un JNLTRAV de façon pertinente
</t>
  </si>
  <si>
    <t xml:space="preserve">
° Réalise ses tâches en tenant compte des principes de durabilité
° Travaille de façon efficiente
° Respecte les infrastructures
</t>
  </si>
  <si>
    <t>Sociales</t>
  </si>
  <si>
    <t xml:space="preserve">
° Apporte des contributions positives au groupe
° Respecte les autres et des règles sociales
° Cherche des solutions constructives
</t>
  </si>
  <si>
    <t>Réalisation du projet …</t>
  </si>
  <si>
    <t>Totaux</t>
  </si>
  <si>
    <t>Les différentes tâches réalisées sont …</t>
  </si>
  <si>
    <t>Date :</t>
  </si>
  <si>
    <t>Les thèmes abordés sont : le journal de travail, …</t>
  </si>
  <si>
    <t>Apprenti :</t>
  </si>
  <si>
    <t xml:space="preserve">Enseignant : </t>
  </si>
  <si>
    <t>Résultat final</t>
  </si>
  <si>
    <t>Notes</t>
  </si>
  <si>
    <t>Joca Bolli</t>
  </si>
  <si>
    <t>Nolan Praz</t>
  </si>
  <si>
    <t>Sayeh Younes</t>
  </si>
  <si>
    <t>Sylvain Philipona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</si>
</sst>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b/>
      <sz val="18"/>
      <name val="Calibri"/>
      <family val="2"/>
      <scheme val="minor"/>
    </font>
    <font>
      <sz val="24"/>
      <name val="Calibri"/>
      <family val="2"/>
      <scheme val="minor"/>
    </font>
    <font>
      <sz val="18"/>
      <name val="ETML 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name val="Calibri"/>
      <family val="2"/>
      <scheme val="minor"/>
    </font>
    <font>
      <sz val="11"/>
      <name val="Wingdings"/>
      <charset val="2"/>
    </font>
    <font>
      <sz val="11"/>
      <color indexed="8"/>
      <name val="Calibri"/>
      <family val="2"/>
      <scheme val="minor"/>
    </font>
    <font>
      <sz val="11"/>
      <name val="Arial"/>
      <family val="2"/>
    </font>
    <font>
      <sz val="11"/>
      <color indexed="9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6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</fills>
  <borders count="3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hair">
        <color indexed="64"/>
      </bottom>
      <diagonal/>
    </border>
    <border>
      <left/>
      <right/>
      <top style="thick">
        <color theme="0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theme="0"/>
      </top>
      <bottom/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3" fillId="2" borderId="1" applyNumberFormat="0" applyAlignment="0" applyProtection="0"/>
    <xf numFmtId="0" fontId="5" fillId="0" borderId="0"/>
    <xf numFmtId="0" fontId="9" fillId="0" borderId="0"/>
  </cellStyleXfs>
  <cellXfs count="104">
    <xf numFmtId="0" fontId="0" fillId="0" borderId="0" xfId="0"/>
    <xf numFmtId="0" fontId="6" fillId="0" borderId="0" xfId="2" applyFont="1" applyAlignment="1">
      <alignment horizontal="left" vertical="center"/>
    </xf>
    <xf numFmtId="0" fontId="7" fillId="0" borderId="0" xfId="2" applyFont="1"/>
    <xf numFmtId="0" fontId="8" fillId="0" borderId="0" xfId="2" applyFont="1" applyAlignment="1">
      <alignment vertical="center"/>
    </xf>
    <xf numFmtId="0" fontId="4" fillId="3" borderId="0" xfId="3" applyFont="1" applyFill="1"/>
    <xf numFmtId="0" fontId="10" fillId="0" borderId="0" xfId="2" applyFont="1" applyAlignment="1">
      <alignment horizontal="left" vertical="center" indent="1"/>
    </xf>
    <xf numFmtId="0" fontId="9" fillId="0" borderId="0" xfId="2" applyFont="1" applyAlignment="1">
      <alignment vertical="center"/>
    </xf>
    <xf numFmtId="0" fontId="10" fillId="0" borderId="0" xfId="2" applyFont="1" applyAlignment="1">
      <alignment horizontal="right" vertical="center"/>
    </xf>
    <xf numFmtId="0" fontId="11" fillId="0" borderId="2" xfId="2" applyFont="1" applyBorder="1" applyAlignment="1">
      <alignment horizontal="left" vertical="center"/>
    </xf>
    <xf numFmtId="0" fontId="9" fillId="0" borderId="2" xfId="2" applyFont="1" applyBorder="1" applyAlignment="1">
      <alignment vertical="center"/>
    </xf>
    <xf numFmtId="0" fontId="11" fillId="0" borderId="0" xfId="2" applyFont="1" applyAlignment="1">
      <alignment horizontal="left" vertical="center"/>
    </xf>
    <xf numFmtId="0" fontId="2" fillId="4" borderId="3" xfId="3" applyFont="1" applyFill="1" applyBorder="1"/>
    <xf numFmtId="0" fontId="9" fillId="0" borderId="0" xfId="2" applyFont="1" applyAlignment="1">
      <alignment horizontal="center" vertical="center"/>
    </xf>
    <xf numFmtId="0" fontId="10" fillId="0" borderId="0" xfId="2" applyFont="1" applyAlignment="1">
      <alignment horizontal="left" vertical="center"/>
    </xf>
    <xf numFmtId="0" fontId="12" fillId="0" borderId="0" xfId="2" applyFont="1" applyAlignment="1">
      <alignment horizontal="right" vertical="center"/>
    </xf>
    <xf numFmtId="0" fontId="11" fillId="0" borderId="4" xfId="2" applyFont="1" applyBorder="1" applyAlignment="1">
      <alignment horizontal="left" vertical="center"/>
    </xf>
    <xf numFmtId="0" fontId="9" fillId="0" borderId="4" xfId="2" applyFont="1" applyBorder="1" applyAlignment="1">
      <alignment vertical="center"/>
    </xf>
    <xf numFmtId="0" fontId="10" fillId="0" borderId="4" xfId="2" applyFont="1" applyBorder="1" applyAlignment="1">
      <alignment vertical="center"/>
    </xf>
    <xf numFmtId="0" fontId="2" fillId="5" borderId="5" xfId="3" applyFont="1" applyFill="1" applyBorder="1"/>
    <xf numFmtId="0" fontId="10" fillId="0" borderId="0" xfId="2" applyFont="1" applyAlignment="1">
      <alignment vertical="center"/>
    </xf>
    <xf numFmtId="0" fontId="11" fillId="0" borderId="6" xfId="2" applyFont="1" applyBorder="1" applyAlignment="1">
      <alignment horizontal="left" vertical="center"/>
    </xf>
    <xf numFmtId="0" fontId="10" fillId="0" borderId="6" xfId="2" applyFont="1" applyBorder="1" applyAlignment="1">
      <alignment vertical="center"/>
    </xf>
    <xf numFmtId="0" fontId="11" fillId="0" borderId="7" xfId="2" applyFont="1" applyBorder="1" applyAlignment="1">
      <alignment horizontal="left" vertical="center"/>
    </xf>
    <xf numFmtId="0" fontId="11" fillId="0" borderId="6" xfId="2" applyFont="1" applyBorder="1" applyAlignment="1">
      <alignment vertical="center"/>
    </xf>
    <xf numFmtId="0" fontId="12" fillId="0" borderId="6" xfId="2" applyFont="1" applyBorder="1" applyAlignment="1">
      <alignment horizontal="right" vertical="center"/>
    </xf>
    <xf numFmtId="0" fontId="11" fillId="0" borderId="7" xfId="2" applyFont="1" applyBorder="1" applyAlignment="1">
      <alignment vertical="center"/>
    </xf>
    <xf numFmtId="0" fontId="2" fillId="4" borderId="5" xfId="3" applyFont="1" applyFill="1" applyBorder="1"/>
    <xf numFmtId="0" fontId="9" fillId="0" borderId="0" xfId="3"/>
    <xf numFmtId="0" fontId="9" fillId="0" borderId="8" xfId="2" applyFont="1" applyBorder="1" applyAlignment="1">
      <alignment vertical="center" wrapText="1"/>
    </xf>
    <xf numFmtId="0" fontId="13" fillId="6" borderId="9" xfId="2" applyFont="1" applyFill="1" applyBorder="1" applyAlignment="1">
      <alignment horizontal="center" vertical="center" wrapText="1"/>
    </xf>
    <xf numFmtId="0" fontId="13" fillId="6" borderId="9" xfId="2" applyFont="1" applyFill="1" applyBorder="1" applyAlignment="1">
      <alignment horizontal="center" vertical="center"/>
    </xf>
    <xf numFmtId="0" fontId="13" fillId="7" borderId="9" xfId="2" applyFont="1" applyFill="1" applyBorder="1" applyAlignment="1">
      <alignment horizontal="center" vertical="center" wrapText="1"/>
    </xf>
    <xf numFmtId="0" fontId="13" fillId="7" borderId="9" xfId="2" applyFont="1" applyFill="1" applyBorder="1" applyAlignment="1">
      <alignment horizontal="center" vertical="center"/>
    </xf>
    <xf numFmtId="0" fontId="13" fillId="8" borderId="9" xfId="2" applyFont="1" applyFill="1" applyBorder="1" applyAlignment="1">
      <alignment horizontal="center" vertical="center" wrapText="1"/>
    </xf>
    <xf numFmtId="0" fontId="13" fillId="8" borderId="9" xfId="2" applyFont="1" applyFill="1" applyBorder="1" applyAlignment="1">
      <alignment horizontal="center" vertical="center"/>
    </xf>
    <xf numFmtId="0" fontId="13" fillId="9" borderId="9" xfId="2" applyFont="1" applyFill="1" applyBorder="1" applyAlignment="1">
      <alignment horizontal="center" vertical="center" wrapText="1"/>
    </xf>
    <xf numFmtId="0" fontId="13" fillId="9" borderId="9" xfId="2" applyFont="1" applyFill="1" applyBorder="1" applyAlignment="1">
      <alignment horizontal="center" vertical="center"/>
    </xf>
    <xf numFmtId="0" fontId="13" fillId="0" borderId="10" xfId="2" applyFont="1" applyBorder="1" applyAlignment="1">
      <alignment horizontal="center" vertical="center"/>
    </xf>
    <xf numFmtId="0" fontId="14" fillId="0" borderId="11" xfId="2" applyFont="1" applyBorder="1" applyAlignment="1">
      <alignment horizontal="center" vertical="center"/>
    </xf>
    <xf numFmtId="0" fontId="10" fillId="0" borderId="12" xfId="2" applyFont="1" applyBorder="1" applyAlignment="1">
      <alignment horizontal="center" vertical="center" textRotation="90"/>
    </xf>
    <xf numFmtId="0" fontId="14" fillId="0" borderId="13" xfId="2" applyFont="1" applyBorder="1" applyAlignment="1">
      <alignment horizontal="center" vertical="center" textRotation="90" wrapText="1"/>
    </xf>
    <xf numFmtId="0" fontId="13" fillId="10" borderId="14" xfId="2" applyFont="1" applyFill="1" applyBorder="1" applyAlignment="1">
      <alignment horizontal="left" vertical="center" wrapText="1"/>
    </xf>
    <xf numFmtId="0" fontId="15" fillId="6" borderId="15" xfId="2" applyFont="1" applyFill="1" applyBorder="1" applyAlignment="1" applyProtection="1">
      <alignment horizontal="center" vertical="center" wrapText="1"/>
      <protection locked="0"/>
    </xf>
    <xf numFmtId="0" fontId="9" fillId="6" borderId="16" xfId="2" applyFont="1" applyFill="1" applyBorder="1" applyAlignment="1" applyProtection="1">
      <alignment vertical="center" wrapText="1"/>
      <protection locked="0"/>
    </xf>
    <xf numFmtId="164" fontId="10" fillId="6" borderId="17" xfId="2" applyNumberFormat="1" applyFont="1" applyFill="1" applyBorder="1" applyAlignment="1" applyProtection="1">
      <alignment horizontal="center" vertical="center" wrapText="1"/>
      <protection locked="0"/>
    </xf>
    <xf numFmtId="0" fontId="15" fillId="7" borderId="15" xfId="2" applyFont="1" applyFill="1" applyBorder="1" applyAlignment="1" applyProtection="1">
      <alignment horizontal="center" vertical="center" wrapText="1"/>
      <protection locked="0"/>
    </xf>
    <xf numFmtId="0" fontId="16" fillId="7" borderId="16" xfId="2" applyFont="1" applyFill="1" applyBorder="1" applyAlignment="1" applyProtection="1">
      <alignment vertical="center" wrapText="1"/>
      <protection locked="0"/>
    </xf>
    <xf numFmtId="164" fontId="12" fillId="7" borderId="17" xfId="2" applyNumberFormat="1" applyFont="1" applyFill="1" applyBorder="1" applyAlignment="1" applyProtection="1">
      <alignment horizontal="center" vertical="center" wrapText="1"/>
      <protection locked="0"/>
    </xf>
    <xf numFmtId="0" fontId="15" fillId="8" borderId="15" xfId="2" applyFont="1" applyFill="1" applyBorder="1" applyAlignment="1" applyProtection="1">
      <alignment horizontal="center" vertical="center" wrapText="1"/>
      <protection locked="0"/>
    </xf>
    <xf numFmtId="0" fontId="16" fillId="8" borderId="16" xfId="2" applyFont="1" applyFill="1" applyBorder="1" applyAlignment="1" applyProtection="1">
      <alignment vertical="center" wrapText="1"/>
      <protection locked="0"/>
    </xf>
    <xf numFmtId="164" fontId="10" fillId="8" borderId="17" xfId="2" applyNumberFormat="1" applyFont="1" applyFill="1" applyBorder="1" applyAlignment="1" applyProtection="1">
      <alignment horizontal="center" vertical="center"/>
      <protection locked="0"/>
    </xf>
    <xf numFmtId="0" fontId="15" fillId="9" borderId="15" xfId="2" applyFont="1" applyFill="1" applyBorder="1" applyAlignment="1" applyProtection="1">
      <alignment horizontal="center" vertical="center" wrapText="1"/>
      <protection locked="0"/>
    </xf>
    <xf numFmtId="0" fontId="16" fillId="9" borderId="16" xfId="2" applyFont="1" applyFill="1" applyBorder="1" applyAlignment="1" applyProtection="1">
      <alignment horizontal="left" vertical="center" wrapText="1"/>
      <protection locked="0"/>
    </xf>
    <xf numFmtId="164" fontId="12" fillId="9" borderId="17" xfId="2" applyNumberFormat="1" applyFont="1" applyFill="1" applyBorder="1" applyAlignment="1" applyProtection="1">
      <alignment horizontal="center" vertical="center" wrapText="1"/>
      <protection locked="0"/>
    </xf>
    <xf numFmtId="164" fontId="16" fillId="0" borderId="18" xfId="2" applyNumberFormat="1" applyFont="1" applyBorder="1" applyAlignment="1" applyProtection="1">
      <alignment horizontal="center" vertical="center" wrapText="1"/>
      <protection locked="0"/>
    </xf>
    <xf numFmtId="164" fontId="10" fillId="0" borderId="17" xfId="2" applyNumberFormat="1" applyFont="1" applyBorder="1" applyAlignment="1" applyProtection="1">
      <alignment horizontal="center" vertical="center"/>
      <protection locked="0"/>
    </xf>
    <xf numFmtId="0" fontId="17" fillId="0" borderId="0" xfId="2" applyFont="1"/>
    <xf numFmtId="0" fontId="10" fillId="0" borderId="19" xfId="2" applyFont="1" applyBorder="1" applyAlignment="1">
      <alignment horizontal="center" vertical="center" textRotation="90"/>
    </xf>
    <xf numFmtId="0" fontId="14" fillId="0" borderId="20" xfId="2" applyFont="1" applyBorder="1" applyAlignment="1">
      <alignment horizontal="center" vertical="center" textRotation="90" wrapText="1"/>
    </xf>
    <xf numFmtId="0" fontId="13" fillId="10" borderId="21" xfId="2" applyFont="1" applyFill="1" applyBorder="1" applyAlignment="1">
      <alignment horizontal="left" vertical="center" wrapText="1"/>
    </xf>
    <xf numFmtId="0" fontId="14" fillId="0" borderId="22" xfId="2" applyFont="1" applyBorder="1" applyAlignment="1">
      <alignment horizontal="center" vertical="center" textRotation="90" wrapText="1"/>
    </xf>
    <xf numFmtId="0" fontId="14" fillId="0" borderId="23" xfId="2" applyFont="1" applyBorder="1" applyAlignment="1">
      <alignment horizontal="center" vertical="center" textRotation="90" wrapText="1"/>
    </xf>
    <xf numFmtId="0" fontId="14" fillId="0" borderId="24" xfId="2" applyFont="1" applyBorder="1" applyAlignment="1">
      <alignment horizontal="center" vertical="center" textRotation="90" wrapText="1"/>
    </xf>
    <xf numFmtId="164" fontId="17" fillId="0" borderId="0" xfId="2" applyNumberFormat="1" applyFont="1"/>
    <xf numFmtId="0" fontId="14" fillId="0" borderId="25" xfId="2" applyFont="1" applyBorder="1" applyAlignment="1">
      <alignment horizontal="center" vertical="center" textRotation="90" wrapText="1"/>
    </xf>
    <xf numFmtId="0" fontId="10" fillId="0" borderId="26" xfId="2" applyFont="1" applyBorder="1" applyAlignment="1">
      <alignment horizontal="center" vertical="center" textRotation="90"/>
    </xf>
    <xf numFmtId="0" fontId="14" fillId="10" borderId="27" xfId="2" applyFont="1" applyFill="1" applyBorder="1" applyAlignment="1">
      <alignment horizontal="center" vertical="center" textRotation="90" wrapText="1"/>
    </xf>
    <xf numFmtId="0" fontId="13" fillId="10" borderId="28" xfId="2" applyFont="1" applyFill="1" applyBorder="1" applyAlignment="1">
      <alignment horizontal="left" vertical="center" wrapText="1"/>
    </xf>
    <xf numFmtId="0" fontId="15" fillId="6" borderId="29" xfId="2" applyFont="1" applyFill="1" applyBorder="1" applyAlignment="1" applyProtection="1">
      <alignment horizontal="center" vertical="center" wrapText="1"/>
      <protection locked="0"/>
    </xf>
    <xf numFmtId="0" fontId="9" fillId="6" borderId="30" xfId="2" applyFont="1" applyFill="1" applyBorder="1" applyAlignment="1" applyProtection="1">
      <alignment vertical="center" wrapText="1"/>
      <protection locked="0"/>
    </xf>
    <xf numFmtId="164" fontId="10" fillId="6" borderId="31" xfId="2" applyNumberFormat="1" applyFont="1" applyFill="1" applyBorder="1" applyAlignment="1" applyProtection="1">
      <alignment horizontal="center" vertical="center" wrapText="1"/>
      <protection locked="0"/>
    </xf>
    <xf numFmtId="0" fontId="15" fillId="7" borderId="29" xfId="2" applyFont="1" applyFill="1" applyBorder="1" applyAlignment="1" applyProtection="1">
      <alignment horizontal="center" vertical="center" wrapText="1"/>
      <protection locked="0"/>
    </xf>
    <xf numFmtId="0" fontId="16" fillId="7" borderId="30" xfId="2" applyFont="1" applyFill="1" applyBorder="1" applyAlignment="1" applyProtection="1">
      <alignment vertical="center" wrapText="1"/>
      <protection locked="0"/>
    </xf>
    <xf numFmtId="164" fontId="12" fillId="7" borderId="31" xfId="2" applyNumberFormat="1" applyFont="1" applyFill="1" applyBorder="1" applyAlignment="1" applyProtection="1">
      <alignment horizontal="center" vertical="center" wrapText="1"/>
      <protection locked="0"/>
    </xf>
    <xf numFmtId="0" fontId="15" fillId="8" borderId="29" xfId="2" applyFont="1" applyFill="1" applyBorder="1" applyAlignment="1" applyProtection="1">
      <alignment horizontal="center" vertical="center" wrapText="1"/>
      <protection locked="0"/>
    </xf>
    <xf numFmtId="0" fontId="16" fillId="8" borderId="30" xfId="2" applyFont="1" applyFill="1" applyBorder="1" applyAlignment="1" applyProtection="1">
      <alignment vertical="center" wrapText="1"/>
      <protection locked="0"/>
    </xf>
    <xf numFmtId="164" fontId="10" fillId="8" borderId="31" xfId="2" applyNumberFormat="1" applyFont="1" applyFill="1" applyBorder="1" applyAlignment="1" applyProtection="1">
      <alignment horizontal="center" vertical="center"/>
      <protection locked="0"/>
    </xf>
    <xf numFmtId="0" fontId="15" fillId="9" borderId="29" xfId="2" applyFont="1" applyFill="1" applyBorder="1" applyAlignment="1" applyProtection="1">
      <alignment horizontal="center" vertical="center" wrapText="1"/>
      <protection locked="0"/>
    </xf>
    <xf numFmtId="0" fontId="16" fillId="9" borderId="30" xfId="2" applyFont="1" applyFill="1" applyBorder="1" applyAlignment="1" applyProtection="1">
      <alignment horizontal="left" vertical="center" wrapText="1"/>
      <protection locked="0"/>
    </xf>
    <xf numFmtId="164" fontId="12" fillId="9" borderId="31" xfId="2" applyNumberFormat="1" applyFont="1" applyFill="1" applyBorder="1" applyAlignment="1" applyProtection="1">
      <alignment horizontal="center" vertical="center" wrapText="1"/>
      <protection locked="0"/>
    </xf>
    <xf numFmtId="164" fontId="16" fillId="0" borderId="32" xfId="2" applyNumberFormat="1" applyFont="1" applyBorder="1" applyAlignment="1" applyProtection="1">
      <alignment horizontal="center" vertical="center" wrapText="1"/>
      <protection locked="0"/>
    </xf>
    <xf numFmtId="164" fontId="10" fillId="0" borderId="28" xfId="2" applyNumberFormat="1" applyFont="1" applyBorder="1" applyAlignment="1" applyProtection="1">
      <alignment horizontal="center" vertical="center"/>
      <protection locked="0"/>
    </xf>
    <xf numFmtId="0" fontId="10" fillId="0" borderId="0" xfId="2" applyFont="1" applyAlignment="1" applyProtection="1">
      <alignment vertical="center"/>
      <protection locked="0"/>
    </xf>
    <xf numFmtId="0" fontId="12" fillId="0" borderId="0" xfId="2" applyFont="1" applyAlignment="1">
      <alignment vertical="center" wrapText="1"/>
    </xf>
    <xf numFmtId="0" fontId="18" fillId="0" borderId="0" xfId="2" applyFont="1" applyAlignment="1">
      <alignment horizontal="right" vertical="center" textRotation="90"/>
    </xf>
    <xf numFmtId="0" fontId="18" fillId="0" borderId="0" xfId="2" applyFont="1" applyAlignment="1">
      <alignment horizontal="right" vertical="center" textRotation="90"/>
    </xf>
    <xf numFmtId="0" fontId="19" fillId="0" borderId="0" xfId="2" applyFont="1" applyAlignment="1">
      <alignment horizontal="center" vertical="center"/>
    </xf>
    <xf numFmtId="0" fontId="0" fillId="0" borderId="4" xfId="2" applyFont="1" applyBorder="1" applyAlignment="1" applyProtection="1">
      <alignment horizontal="left" vertical="center"/>
      <protection locked="0"/>
    </xf>
    <xf numFmtId="0" fontId="9" fillId="0" borderId="4" xfId="2" applyFont="1" applyBorder="1" applyAlignment="1" applyProtection="1">
      <alignment horizontal="left" vertical="center"/>
      <protection locked="0"/>
    </xf>
    <xf numFmtId="0" fontId="10" fillId="0" borderId="0" xfId="2" applyFont="1" applyAlignment="1">
      <alignment horizontal="right" vertical="center"/>
    </xf>
    <xf numFmtId="14" fontId="9" fillId="0" borderId="2" xfId="2" applyNumberFormat="1" applyFont="1" applyBorder="1" applyAlignment="1" applyProtection="1">
      <alignment horizontal="left" vertical="center"/>
      <protection locked="0"/>
    </xf>
    <xf numFmtId="0" fontId="10" fillId="0" borderId="0" xfId="2" applyFont="1" applyAlignment="1">
      <alignment horizontal="right" vertical="center" wrapText="1"/>
    </xf>
    <xf numFmtId="0" fontId="9" fillId="0" borderId="2" xfId="2" applyFont="1" applyBorder="1" applyAlignment="1" applyProtection="1">
      <alignment horizontal="left" vertical="center"/>
      <protection locked="0"/>
    </xf>
    <xf numFmtId="0" fontId="18" fillId="0" borderId="0" xfId="2" applyFont="1" applyAlignment="1">
      <alignment vertical="center"/>
    </xf>
    <xf numFmtId="164" fontId="19" fillId="0" borderId="0" xfId="2" applyNumberFormat="1" applyFont="1" applyAlignment="1">
      <alignment horizontal="center" vertical="center"/>
    </xf>
    <xf numFmtId="0" fontId="10" fillId="0" borderId="0" xfId="2" applyFont="1" applyAlignment="1">
      <alignment horizontal="center" vertical="center"/>
    </xf>
    <xf numFmtId="164" fontId="10" fillId="0" borderId="33" xfId="2" applyNumberFormat="1" applyFont="1" applyBorder="1" applyAlignment="1">
      <alignment horizontal="center" vertical="center"/>
    </xf>
    <xf numFmtId="0" fontId="5" fillId="0" borderId="0" xfId="2"/>
    <xf numFmtId="0" fontId="20" fillId="0" borderId="0" xfId="2" applyFont="1" applyAlignment="1">
      <alignment horizontal="left" wrapText="1"/>
    </xf>
    <xf numFmtId="0" fontId="3" fillId="2" borderId="1" xfId="1" applyProtection="1"/>
    <xf numFmtId="0" fontId="5" fillId="11" borderId="0" xfId="2" applyFill="1"/>
    <xf numFmtId="0" fontId="5" fillId="12" borderId="0" xfId="2" applyFill="1"/>
    <xf numFmtId="0" fontId="5" fillId="13" borderId="0" xfId="2" applyFill="1"/>
    <xf numFmtId="0" fontId="5" fillId="14" borderId="0" xfId="2" applyFill="1"/>
  </cellXfs>
  <cellStyles count="4">
    <cellStyle name="Calcul" xfId="1" builtinId="22"/>
    <cellStyle name="Normal" xfId="0" builtinId="0"/>
    <cellStyle name="Normal 2" xfId="2" xr:uid="{3271B86F-C79E-4A10-93F3-CA24A81569ED}"/>
    <cellStyle name="Normal 3" xfId="3" xr:uid="{169213D6-1501-4A78-BF7C-16B9CB9DB2CE}"/>
  </cellStyles>
  <dxfs count="60">
    <dxf>
      <fill>
        <patternFill patternType="mediumGray"/>
      </fill>
    </dxf>
    <dxf>
      <font>
        <color auto="1"/>
      </font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ont>
        <b/>
        <i val="0"/>
        <color rgb="FFFF0000"/>
      </font>
    </dxf>
    <dxf>
      <fill>
        <patternFill>
          <bgColor theme="9"/>
        </patternFill>
      </fill>
    </dxf>
    <dxf>
      <fill>
        <patternFill patternType="mediumGray"/>
      </fill>
    </dxf>
    <dxf>
      <font>
        <b/>
        <i val="0"/>
        <color rgb="FFFF0000"/>
      </font>
    </dxf>
    <dxf>
      <font>
        <b/>
        <i val="0"/>
        <color auto="1"/>
      </font>
      <fill>
        <patternFill>
          <fgColor auto="1"/>
          <bgColor theme="5"/>
        </patternFill>
      </fill>
    </dxf>
    <dxf>
      <font>
        <b/>
        <i val="0"/>
        <color auto="1"/>
      </font>
      <fill>
        <patternFill>
          <bgColor theme="7"/>
        </patternFill>
      </fill>
    </dxf>
    <dxf>
      <font>
        <b/>
        <i val="0"/>
      </font>
      <fill>
        <patternFill>
          <bgColor theme="8"/>
        </patternFill>
      </fill>
    </dxf>
    <dxf>
      <font>
        <b/>
        <i val="0"/>
      </font>
      <fill>
        <patternFill>
          <bgColor theme="9"/>
        </patternFill>
      </fill>
    </dxf>
    <dxf>
      <fill>
        <patternFill patternType="mediumGray"/>
      </fill>
    </dxf>
    <dxf>
      <font>
        <color auto="1"/>
      </font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ont>
        <b/>
        <i val="0"/>
        <color rgb="FFFF0000"/>
      </font>
    </dxf>
    <dxf>
      <fill>
        <patternFill>
          <bgColor theme="9"/>
        </patternFill>
      </fill>
    </dxf>
    <dxf>
      <fill>
        <patternFill patternType="mediumGray"/>
      </fill>
    </dxf>
    <dxf>
      <font>
        <b/>
        <i val="0"/>
        <color rgb="FFFF0000"/>
      </font>
    </dxf>
    <dxf>
      <font>
        <b/>
        <i val="0"/>
        <color auto="1"/>
      </font>
      <fill>
        <patternFill>
          <fgColor auto="1"/>
          <bgColor theme="5"/>
        </patternFill>
      </fill>
    </dxf>
    <dxf>
      <font>
        <b/>
        <i val="0"/>
        <color auto="1"/>
      </font>
      <fill>
        <patternFill>
          <bgColor theme="7"/>
        </patternFill>
      </fill>
    </dxf>
    <dxf>
      <font>
        <b/>
        <i val="0"/>
      </font>
      <fill>
        <patternFill>
          <bgColor theme="8"/>
        </patternFill>
      </fill>
    </dxf>
    <dxf>
      <font>
        <b/>
        <i val="0"/>
      </font>
      <fill>
        <patternFill>
          <bgColor theme="9"/>
        </patternFill>
      </fill>
    </dxf>
    <dxf>
      <fill>
        <patternFill patternType="mediumGray"/>
      </fill>
    </dxf>
    <dxf>
      <font>
        <color auto="1"/>
      </font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ont>
        <b/>
        <i val="0"/>
        <color rgb="FFFF0000"/>
      </font>
    </dxf>
    <dxf>
      <fill>
        <patternFill>
          <bgColor theme="9"/>
        </patternFill>
      </fill>
    </dxf>
    <dxf>
      <fill>
        <patternFill patternType="mediumGray"/>
      </fill>
    </dxf>
    <dxf>
      <font>
        <b/>
        <i val="0"/>
        <color rgb="FFFF0000"/>
      </font>
    </dxf>
    <dxf>
      <font>
        <b/>
        <i val="0"/>
        <color auto="1"/>
      </font>
      <fill>
        <patternFill>
          <fgColor auto="1"/>
          <bgColor theme="5"/>
        </patternFill>
      </fill>
    </dxf>
    <dxf>
      <font>
        <b/>
        <i val="0"/>
        <color auto="1"/>
      </font>
      <fill>
        <patternFill>
          <bgColor theme="7"/>
        </patternFill>
      </fill>
    </dxf>
    <dxf>
      <font>
        <b/>
        <i val="0"/>
      </font>
      <fill>
        <patternFill>
          <bgColor theme="8"/>
        </patternFill>
      </fill>
    </dxf>
    <dxf>
      <font>
        <b/>
        <i val="0"/>
      </font>
      <fill>
        <patternFill>
          <bgColor theme="9"/>
        </patternFill>
      </fill>
    </dxf>
    <dxf>
      <fill>
        <patternFill patternType="mediumGray"/>
      </fill>
    </dxf>
    <dxf>
      <font>
        <color auto="1"/>
      </font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ont>
        <b/>
        <i val="0"/>
        <color rgb="FFFF0000"/>
      </font>
    </dxf>
    <dxf>
      <fill>
        <patternFill>
          <bgColor theme="9"/>
        </patternFill>
      </fill>
    </dxf>
    <dxf>
      <fill>
        <patternFill patternType="mediumGray"/>
      </fill>
    </dxf>
    <dxf>
      <font>
        <b/>
        <i val="0"/>
        <color rgb="FFFF0000"/>
      </font>
    </dxf>
    <dxf>
      <font>
        <b/>
        <i val="0"/>
        <color auto="1"/>
      </font>
      <fill>
        <patternFill>
          <fgColor auto="1"/>
          <bgColor theme="5"/>
        </patternFill>
      </fill>
    </dxf>
    <dxf>
      <font>
        <b/>
        <i val="0"/>
        <color auto="1"/>
      </font>
      <fill>
        <patternFill>
          <bgColor theme="7"/>
        </patternFill>
      </fill>
    </dxf>
    <dxf>
      <font>
        <b/>
        <i val="0"/>
      </font>
      <fill>
        <patternFill>
          <bgColor theme="8"/>
        </patternFill>
      </fill>
    </dxf>
    <dxf>
      <font>
        <b/>
        <i val="0"/>
      </font>
      <fill>
        <patternFill>
          <bgColor theme="9"/>
        </patternFill>
      </fill>
    </dxf>
    <dxf>
      <fill>
        <patternFill patternType="mediumGray"/>
      </fill>
    </dxf>
    <dxf>
      <font>
        <color auto="1"/>
      </font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theme="8"/>
        </patternFill>
      </fill>
    </dxf>
    <dxf>
      <font>
        <b/>
        <i val="0"/>
        <color rgb="FFFF0000"/>
      </font>
    </dxf>
    <dxf>
      <fill>
        <patternFill>
          <bgColor theme="9"/>
        </patternFill>
      </fill>
    </dxf>
    <dxf>
      <fill>
        <patternFill patternType="mediumGray"/>
      </fill>
    </dxf>
    <dxf>
      <font>
        <b/>
        <i val="0"/>
        <color rgb="FFFF0000"/>
      </font>
    </dxf>
    <dxf>
      <font>
        <b/>
        <i val="0"/>
        <color auto="1"/>
      </font>
      <fill>
        <patternFill>
          <fgColor auto="1"/>
          <bgColor theme="5"/>
        </patternFill>
      </fill>
    </dxf>
    <dxf>
      <font>
        <b/>
        <i val="0"/>
        <color auto="1"/>
      </font>
      <fill>
        <patternFill>
          <bgColor theme="7"/>
        </patternFill>
      </fill>
    </dxf>
    <dxf>
      <font>
        <b/>
        <i val="0"/>
      </font>
      <fill>
        <patternFill>
          <bgColor theme="8"/>
        </patternFill>
      </fill>
    </dxf>
    <dxf>
      <font>
        <b/>
        <i val="0"/>
      </font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129540</xdr:colOff>
      <xdr:row>2</xdr:row>
      <xdr:rowOff>60961</xdr:rowOff>
    </xdr:from>
    <xdr:ext cx="1562644" cy="380558"/>
    <xdr:pic>
      <xdr:nvPicPr>
        <xdr:cNvPr id="2" name="Image 1">
          <a:extLst>
            <a:ext uri="{FF2B5EF4-FFF2-40B4-BE49-F238E27FC236}">
              <a16:creationId xmlns:a16="http://schemas.microsoft.com/office/drawing/2014/main" id="{D7C8FDD4-0BC7-45B1-B019-0E4DFC3D0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" y="689611"/>
          <a:ext cx="1562644" cy="380558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129540</xdr:colOff>
      <xdr:row>2</xdr:row>
      <xdr:rowOff>60961</xdr:rowOff>
    </xdr:from>
    <xdr:ext cx="1562644" cy="380558"/>
    <xdr:pic>
      <xdr:nvPicPr>
        <xdr:cNvPr id="2" name="Image 1">
          <a:extLst>
            <a:ext uri="{FF2B5EF4-FFF2-40B4-BE49-F238E27FC236}">
              <a16:creationId xmlns:a16="http://schemas.microsoft.com/office/drawing/2014/main" id="{2762CAE5-D595-467B-AFD6-FC6866FD1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" y="689611"/>
          <a:ext cx="1562644" cy="380558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129540</xdr:colOff>
      <xdr:row>2</xdr:row>
      <xdr:rowOff>60961</xdr:rowOff>
    </xdr:from>
    <xdr:ext cx="1562644" cy="380558"/>
    <xdr:pic>
      <xdr:nvPicPr>
        <xdr:cNvPr id="2" name="Image 1">
          <a:extLst>
            <a:ext uri="{FF2B5EF4-FFF2-40B4-BE49-F238E27FC236}">
              <a16:creationId xmlns:a16="http://schemas.microsoft.com/office/drawing/2014/main" id="{5937B9B9-2F1D-43C1-A0F6-E6A2FB0B9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" y="689611"/>
          <a:ext cx="1562644" cy="380558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129540</xdr:colOff>
      <xdr:row>2</xdr:row>
      <xdr:rowOff>60961</xdr:rowOff>
    </xdr:from>
    <xdr:ext cx="1562644" cy="380558"/>
    <xdr:pic>
      <xdr:nvPicPr>
        <xdr:cNvPr id="2" name="Image 1">
          <a:extLst>
            <a:ext uri="{FF2B5EF4-FFF2-40B4-BE49-F238E27FC236}">
              <a16:creationId xmlns:a16="http://schemas.microsoft.com/office/drawing/2014/main" id="{4EBCA7B9-9446-45DD-8E8F-AEC22CC2C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" y="689611"/>
          <a:ext cx="1562644" cy="380558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129540</xdr:colOff>
      <xdr:row>2</xdr:row>
      <xdr:rowOff>60961</xdr:rowOff>
    </xdr:from>
    <xdr:ext cx="1562644" cy="380558"/>
    <xdr:pic>
      <xdr:nvPicPr>
        <xdr:cNvPr id="2" name="Image 1">
          <a:extLst>
            <a:ext uri="{FF2B5EF4-FFF2-40B4-BE49-F238E27FC236}">
              <a16:creationId xmlns:a16="http://schemas.microsoft.com/office/drawing/2014/main" id="{CB41909F-FB12-49E7-8D99-E5D458CDC6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" y="689611"/>
          <a:ext cx="1562644" cy="380558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600075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Rappatrier les notes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6</xdr:row>
          <xdr:rowOff>190500</xdr:rowOff>
        </xdr:from>
        <xdr:to>
          <xdr:col>6</xdr:col>
          <xdr:colOff>600075</xdr:colOff>
          <xdr:row>10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13</xdr:row>
          <xdr:rowOff>9525</xdr:rowOff>
        </xdr:from>
        <xdr:to>
          <xdr:col>6</xdr:col>
          <xdr:colOff>600075</xdr:colOff>
          <xdr:row>16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en PDF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DD267E-7CBD-44D6-B9C5-D795E0653650}" name="Tableau1" displayName="Tableau1" ref="A1:C2" insertRow="1" totalsRowShown="0">
  <autoFilter ref="A1:C2" xr:uid="{55D3FB7F-E111-4B32-AC27-FA0B450109D0}"/>
  <tableColumns count="3">
    <tableColumn id="1" xr3:uid="{53421FE0-9F0D-4EE0-8558-EF3A88CBC998}" name="Eleve"/>
    <tableColumn id="2" xr3:uid="{F774C1DF-F756-4C4A-86DF-A6522BFCB673}" name="Evaluation rendue"/>
    <tableColumn id="3" xr3:uid="{1753B6EC-02A9-4C7A-ADEB-12EC82EF3BDF}" name="Note Final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07199-DADD-4DDD-A774-86624CA190F1}">
  <sheetPr>
    <pageSetUpPr fitToPage="1"/>
  </sheetPr>
  <dimension ref="A1:U33"/>
  <sheetViews>
    <sheetView showGridLines="0" tabSelected="1" zoomScale="70" zoomScaleNormal="70" workbookViewId="0">
      <selection activeCell="D13" sqref="D13"/>
    </sheetView>
  </sheetViews>
  <sheetFormatPr baseColWidth="10" defaultColWidth="12.85546875" defaultRowHeight="12.75" customHeight="1" zeroHeight="1" x14ac:dyDescent="0.2"/>
  <cols>
    <col min="1" max="1" width="7.85546875" style="97" customWidth="1"/>
    <col min="2" max="2" width="11" style="97" customWidth="1"/>
    <col min="3" max="3" width="49.5703125" style="97" customWidth="1"/>
    <col min="4" max="4" width="7.7109375" style="97" customWidth="1"/>
    <col min="5" max="5" width="15.7109375" style="97" customWidth="1"/>
    <col min="6" max="7" width="7.7109375" style="97" customWidth="1"/>
    <col min="8" max="8" width="15.7109375" style="97" customWidth="1"/>
    <col min="9" max="10" width="7.7109375" style="97" customWidth="1"/>
    <col min="11" max="11" width="15.7109375" style="97" customWidth="1"/>
    <col min="12" max="13" width="7.7109375" style="97" customWidth="1"/>
    <col min="14" max="14" width="15.7109375" style="97" customWidth="1"/>
    <col min="15" max="16" width="7.7109375" style="97" customWidth="1"/>
    <col min="17" max="17" width="11.140625" style="97" bestFit="1" customWidth="1"/>
    <col min="18" max="18" width="12.85546875" style="97"/>
    <col min="19" max="19" width="25.42578125" style="97" hidden="1" customWidth="1"/>
    <col min="20" max="20" width="12.85546875" style="97" hidden="1" customWidth="1"/>
    <col min="21" max="21" width="10.5703125" style="97" bestFit="1" customWidth="1"/>
    <col min="22" max="16384" width="12.85546875" style="97"/>
  </cols>
  <sheetData>
    <row r="1" spans="1:21" s="2" customFormat="1" ht="30" customHeight="1" thickBot="1" x14ac:dyDescent="0.55000000000000004">
      <c r="A1" s="1" t="s">
        <v>3</v>
      </c>
      <c r="Q1" s="3"/>
      <c r="S1" s="4" t="s">
        <v>4</v>
      </c>
      <c r="T1" s="4" t="s">
        <v>5</v>
      </c>
    </row>
    <row r="2" spans="1:21" s="6" customFormat="1" ht="19.899999999999999" customHeight="1" thickTop="1" x14ac:dyDescent="0.25">
      <c r="A2" s="5" t="s">
        <v>6</v>
      </c>
      <c r="D2" s="7" t="s">
        <v>7</v>
      </c>
      <c r="E2" s="8" t="s">
        <v>57</v>
      </c>
      <c r="F2" s="9"/>
      <c r="G2" s="9"/>
      <c r="H2" s="10"/>
      <c r="I2" s="7" t="s">
        <v>9</v>
      </c>
      <c r="J2" s="8" t="s">
        <v>10</v>
      </c>
      <c r="K2" s="9"/>
      <c r="L2" s="9"/>
      <c r="M2" s="9"/>
      <c r="N2" s="10"/>
      <c r="O2" s="10"/>
      <c r="P2" s="10"/>
      <c r="Q2" s="10"/>
      <c r="S2" s="11" t="s">
        <v>11</v>
      </c>
      <c r="T2" s="11" t="b">
        <v>1</v>
      </c>
    </row>
    <row r="3" spans="1:21" s="6" customFormat="1" ht="19.899999999999999" customHeight="1" x14ac:dyDescent="0.25">
      <c r="A3" s="12"/>
      <c r="B3" s="13"/>
      <c r="D3" s="14" t="s">
        <v>12</v>
      </c>
      <c r="E3" s="15" t="s">
        <v>13</v>
      </c>
      <c r="F3" s="16"/>
      <c r="G3" s="16"/>
      <c r="H3" s="10"/>
      <c r="I3" s="14" t="s">
        <v>14</v>
      </c>
      <c r="J3" s="15">
        <v>10</v>
      </c>
      <c r="K3" s="17"/>
      <c r="L3" s="16"/>
      <c r="M3" s="16"/>
      <c r="N3" s="10"/>
      <c r="O3" s="10"/>
      <c r="P3" s="10"/>
      <c r="Q3" s="10"/>
      <c r="S3" s="18" t="s">
        <v>15</v>
      </c>
      <c r="T3" s="18" t="b">
        <v>0</v>
      </c>
    </row>
    <row r="4" spans="1:21" s="19" customFormat="1" ht="19.899999999999999" customHeight="1" thickBot="1" x14ac:dyDescent="0.3">
      <c r="A4" s="12"/>
      <c r="B4" s="13"/>
      <c r="D4" s="7" t="s">
        <v>16</v>
      </c>
      <c r="E4" s="20" t="s">
        <v>17</v>
      </c>
      <c r="F4" s="21"/>
      <c r="G4" s="21"/>
      <c r="H4" s="22"/>
      <c r="I4" s="14" t="s">
        <v>18</v>
      </c>
      <c r="J4" s="23" t="s">
        <v>19</v>
      </c>
      <c r="K4" s="24"/>
      <c r="L4" s="21"/>
      <c r="M4" s="21"/>
      <c r="N4" s="25"/>
      <c r="O4" s="25"/>
      <c r="P4" s="25"/>
      <c r="Q4" s="25"/>
      <c r="S4" s="26" t="s">
        <v>20</v>
      </c>
      <c r="T4" s="27"/>
      <c r="U4" s="27"/>
    </row>
    <row r="5" spans="1:21" s="6" customFormat="1" ht="25.15" customHeight="1" thickTop="1" thickBot="1" x14ac:dyDescent="0.3">
      <c r="C5" s="28"/>
      <c r="D5" s="29" t="s">
        <v>21</v>
      </c>
      <c r="E5" s="30"/>
      <c r="F5" s="30"/>
      <c r="G5" s="31" t="s">
        <v>22</v>
      </c>
      <c r="H5" s="32"/>
      <c r="I5" s="32"/>
      <c r="J5" s="33" t="s">
        <v>23</v>
      </c>
      <c r="K5" s="34"/>
      <c r="L5" s="34"/>
      <c r="M5" s="35" t="s">
        <v>24</v>
      </c>
      <c r="N5" s="36"/>
      <c r="O5" s="36"/>
      <c r="P5" s="37" t="s">
        <v>5</v>
      </c>
      <c r="Q5" s="38" t="s">
        <v>25</v>
      </c>
      <c r="S5" s="18" t="s">
        <v>26</v>
      </c>
      <c r="T5" s="27"/>
      <c r="U5" s="27"/>
    </row>
    <row r="6" spans="1:21" s="56" customFormat="1" ht="75" customHeight="1" thickTop="1" x14ac:dyDescent="0.25">
      <c r="A6" s="39" t="s">
        <v>27</v>
      </c>
      <c r="B6" s="40" t="s">
        <v>28</v>
      </c>
      <c r="C6" s="41" t="s">
        <v>29</v>
      </c>
      <c r="D6" s="42" t="s">
        <v>30</v>
      </c>
      <c r="E6" s="43" t="s">
        <v>31</v>
      </c>
      <c r="F6" s="44"/>
      <c r="G6" s="45" t="s">
        <v>30</v>
      </c>
      <c r="H6" s="46" t="s">
        <v>32</v>
      </c>
      <c r="I6" s="47"/>
      <c r="J6" s="48" t="s">
        <v>30</v>
      </c>
      <c r="K6" s="49" t="s">
        <v>33</v>
      </c>
      <c r="L6" s="50"/>
      <c r="M6" s="51" t="s">
        <v>30</v>
      </c>
      <c r="N6" s="52" t="s">
        <v>34</v>
      </c>
      <c r="O6" s="53"/>
      <c r="P6" s="54" t="b">
        <v>0</v>
      </c>
      <c r="Q6" s="55" t="str" cm="1">
        <f t="array" ref="Q6">IF(P6=cst_ignore_VRAI,cst_ignore,IF(COUNTA(F6,I6,L6,O6)&gt;1,cst_ERR,CONCATENATE(F6,I6,L6,O6)))</f>
        <v/>
      </c>
      <c r="S6" s="26" t="s">
        <v>35</v>
      </c>
      <c r="T6" s="27"/>
      <c r="U6" s="27"/>
    </row>
    <row r="7" spans="1:21" s="56" customFormat="1" ht="75" customHeight="1" x14ac:dyDescent="0.2">
      <c r="A7" s="57"/>
      <c r="B7" s="58"/>
      <c r="C7" s="59" t="s">
        <v>36</v>
      </c>
      <c r="D7" s="42" t="s">
        <v>30</v>
      </c>
      <c r="E7" s="43" t="s">
        <v>31</v>
      </c>
      <c r="F7" s="44"/>
      <c r="G7" s="45" t="s">
        <v>30</v>
      </c>
      <c r="H7" s="46" t="s">
        <v>32</v>
      </c>
      <c r="I7" s="47"/>
      <c r="J7" s="48" t="s">
        <v>30</v>
      </c>
      <c r="K7" s="49" t="s">
        <v>33</v>
      </c>
      <c r="L7" s="50"/>
      <c r="M7" s="51" t="s">
        <v>30</v>
      </c>
      <c r="N7" s="52" t="s">
        <v>34</v>
      </c>
      <c r="O7" s="53"/>
      <c r="P7" s="54" t="b">
        <v>0</v>
      </c>
      <c r="Q7" s="55" t="str" cm="1">
        <f t="array" ref="Q7">IF(P7=cst_ignore_VRAI,cst_ignore,IF(COUNTA(F7,I7,L7,O7)&gt;1,cst_ERR,CONCATENATE(F7,I7,L7,O7)))</f>
        <v/>
      </c>
    </row>
    <row r="8" spans="1:21" s="56" customFormat="1" ht="75" customHeight="1" x14ac:dyDescent="0.2">
      <c r="A8" s="57"/>
      <c r="B8" s="58"/>
      <c r="C8" s="59" t="s">
        <v>37</v>
      </c>
      <c r="D8" s="42" t="s">
        <v>30</v>
      </c>
      <c r="E8" s="43" t="s">
        <v>31</v>
      </c>
      <c r="F8" s="44"/>
      <c r="G8" s="45" t="s">
        <v>30</v>
      </c>
      <c r="H8" s="46" t="s">
        <v>32</v>
      </c>
      <c r="I8" s="47"/>
      <c r="J8" s="48" t="s">
        <v>30</v>
      </c>
      <c r="K8" s="49" t="s">
        <v>33</v>
      </c>
      <c r="L8" s="50"/>
      <c r="M8" s="51" t="s">
        <v>30</v>
      </c>
      <c r="N8" s="52" t="s">
        <v>34</v>
      </c>
      <c r="O8" s="53"/>
      <c r="P8" s="54" t="b">
        <v>0</v>
      </c>
      <c r="Q8" s="55" t="str" cm="1">
        <f t="array" ref="Q8">IF(P8=cst_ignore_VRAI,cst_ignore,IF(COUNTA(F8,I8,L8,O8)&gt;1,cst_ERR,CONCATENATE(F8,I8,L8,O8)))</f>
        <v/>
      </c>
    </row>
    <row r="9" spans="1:21" s="56" customFormat="1" ht="75" customHeight="1" x14ac:dyDescent="0.2">
      <c r="A9" s="57"/>
      <c r="B9" s="60"/>
      <c r="C9" s="59" t="s">
        <v>38</v>
      </c>
      <c r="D9" s="42" t="s">
        <v>30</v>
      </c>
      <c r="E9" s="43" t="s">
        <v>31</v>
      </c>
      <c r="F9" s="44"/>
      <c r="G9" s="45" t="s">
        <v>30</v>
      </c>
      <c r="H9" s="46" t="s">
        <v>32</v>
      </c>
      <c r="I9" s="47"/>
      <c r="J9" s="48" t="s">
        <v>30</v>
      </c>
      <c r="K9" s="49" t="s">
        <v>33</v>
      </c>
      <c r="L9" s="50"/>
      <c r="M9" s="51" t="s">
        <v>30</v>
      </c>
      <c r="N9" s="52" t="s">
        <v>34</v>
      </c>
      <c r="O9" s="53"/>
      <c r="P9" s="54" t="b">
        <v>0</v>
      </c>
      <c r="Q9" s="55" t="str" cm="1">
        <f t="array" ref="Q9">IF(P9=cst_ignore_VRAI,cst_ignore,IF(COUNTA(F9,I9,L9,O9)&gt;1,cst_ERR,CONCATENATE(F9,I9,L9,O9)))</f>
        <v/>
      </c>
    </row>
    <row r="10" spans="1:21" s="56" customFormat="1" ht="75" customHeight="1" x14ac:dyDescent="0.2">
      <c r="A10" s="57"/>
      <c r="B10" s="61" t="s">
        <v>39</v>
      </c>
      <c r="C10" s="59" t="s">
        <v>40</v>
      </c>
      <c r="D10" s="42" t="s">
        <v>30</v>
      </c>
      <c r="E10" s="43" t="s">
        <v>31</v>
      </c>
      <c r="F10" s="44"/>
      <c r="G10" s="45" t="s">
        <v>30</v>
      </c>
      <c r="H10" s="46" t="s">
        <v>32</v>
      </c>
      <c r="I10" s="47"/>
      <c r="J10" s="48" t="s">
        <v>30</v>
      </c>
      <c r="K10" s="49" t="s">
        <v>33</v>
      </c>
      <c r="L10" s="50"/>
      <c r="M10" s="51" t="s">
        <v>30</v>
      </c>
      <c r="N10" s="52" t="s">
        <v>34</v>
      </c>
      <c r="O10" s="53"/>
      <c r="P10" s="54" t="b">
        <v>0</v>
      </c>
      <c r="Q10" s="55" t="str" cm="1">
        <f t="array" ref="Q10">IF(P10=cst_ignore_VRAI,cst_ignore,IF(COUNTA(F10,I10,L10,O10)&gt;1,cst_ERR,CONCATENATE(F10,I10,L10,O10)))</f>
        <v/>
      </c>
    </row>
    <row r="11" spans="1:21" s="56" customFormat="1" ht="75" customHeight="1" x14ac:dyDescent="0.2">
      <c r="A11" s="57"/>
      <c r="B11" s="62"/>
      <c r="C11" s="59" t="s">
        <v>41</v>
      </c>
      <c r="D11" s="42" t="s">
        <v>30</v>
      </c>
      <c r="E11" s="43" t="s">
        <v>31</v>
      </c>
      <c r="F11" s="44"/>
      <c r="G11" s="45" t="s">
        <v>30</v>
      </c>
      <c r="H11" s="46" t="s">
        <v>32</v>
      </c>
      <c r="I11" s="47"/>
      <c r="J11" s="48" t="s">
        <v>30</v>
      </c>
      <c r="K11" s="49" t="s">
        <v>33</v>
      </c>
      <c r="L11" s="50"/>
      <c r="M11" s="51" t="s">
        <v>30</v>
      </c>
      <c r="N11" s="52" t="s">
        <v>34</v>
      </c>
      <c r="O11" s="53"/>
      <c r="P11" s="54" t="b">
        <v>0</v>
      </c>
      <c r="Q11" s="55" t="str" cm="1">
        <f t="array" ref="Q11">IF(P11=cst_ignore_VRAI,cst_ignore,IF(COUNTA(F11,I11,L11,O11)&gt;1,cst_ERR,CONCATENATE(F11,I11,L11,O11)))</f>
        <v/>
      </c>
      <c r="R11" s="63"/>
    </row>
    <row r="12" spans="1:21" s="56" customFormat="1" ht="75" customHeight="1" x14ac:dyDescent="0.2">
      <c r="A12" s="57"/>
      <c r="B12" s="64"/>
      <c r="C12" s="59" t="s">
        <v>42</v>
      </c>
      <c r="D12" s="42" t="s">
        <v>30</v>
      </c>
      <c r="E12" s="43" t="s">
        <v>31</v>
      </c>
      <c r="F12" s="44"/>
      <c r="G12" s="45" t="s">
        <v>30</v>
      </c>
      <c r="H12" s="46" t="s">
        <v>32</v>
      </c>
      <c r="I12" s="47"/>
      <c r="J12" s="48" t="s">
        <v>30</v>
      </c>
      <c r="K12" s="49" t="s">
        <v>33</v>
      </c>
      <c r="L12" s="50"/>
      <c r="M12" s="51" t="s">
        <v>30</v>
      </c>
      <c r="N12" s="52" t="s">
        <v>34</v>
      </c>
      <c r="O12" s="53"/>
      <c r="P12" s="54" t="b">
        <v>0</v>
      </c>
      <c r="Q12" s="55" t="str" cm="1">
        <f t="array" ref="Q12">IF(P12=cst_ignore_VRAI,cst_ignore,IF(COUNTA(F12,I12,L12,O12)&gt;1,cst_ERR,CONCATENATE(F12,I12,L12,O12)))</f>
        <v/>
      </c>
    </row>
    <row r="13" spans="1:21" s="56" customFormat="1" ht="75" customHeight="1" thickBot="1" x14ac:dyDescent="0.25">
      <c r="A13" s="65"/>
      <c r="B13" s="66" t="s">
        <v>43</v>
      </c>
      <c r="C13" s="67" t="s">
        <v>44</v>
      </c>
      <c r="D13" s="68" t="s">
        <v>30</v>
      </c>
      <c r="E13" s="69" t="s">
        <v>31</v>
      </c>
      <c r="F13" s="70"/>
      <c r="G13" s="71" t="s">
        <v>30</v>
      </c>
      <c r="H13" s="72" t="s">
        <v>32</v>
      </c>
      <c r="I13" s="73"/>
      <c r="J13" s="74" t="s">
        <v>30</v>
      </c>
      <c r="K13" s="75" t="s">
        <v>33</v>
      </c>
      <c r="L13" s="76"/>
      <c r="M13" s="77" t="s">
        <v>30</v>
      </c>
      <c r="N13" s="78" t="s">
        <v>34</v>
      </c>
      <c r="O13" s="79"/>
      <c r="P13" s="80" t="b">
        <v>1</v>
      </c>
      <c r="Q13" s="81" t="str" cm="1">
        <f t="array" ref="Q13">IF(P13=cst_ignore_VRAI,cst_ignore,IF(COUNTA(F13,I13,L13,O13)&gt;1,cst_ERR,CONCATENATE(F13,I13,L13,O13)))</f>
        <v>Ignoré</v>
      </c>
    </row>
    <row r="14" spans="1:21" s="6" customFormat="1" ht="25.15" customHeight="1" thickTop="1" x14ac:dyDescent="0.25">
      <c r="A14" s="82" t="s">
        <v>45</v>
      </c>
      <c r="L14" s="19"/>
      <c r="M14" s="19"/>
      <c r="N14" s="83"/>
      <c r="O14" s="84" t="s">
        <v>46</v>
      </c>
      <c r="P14" s="85"/>
      <c r="Q14" s="86"/>
    </row>
    <row r="15" spans="1:21" s="6" customFormat="1" ht="30" customHeight="1" x14ac:dyDescent="0.25">
      <c r="A15" s="87" t="s">
        <v>47</v>
      </c>
      <c r="B15" s="88"/>
      <c r="C15" s="88"/>
      <c r="D15" s="88"/>
      <c r="E15" s="88"/>
      <c r="F15" s="88"/>
      <c r="G15" s="88"/>
      <c r="H15" s="88"/>
      <c r="J15" s="89" t="s">
        <v>48</v>
      </c>
      <c r="K15" s="89"/>
      <c r="L15" s="90"/>
      <c r="M15" s="90"/>
      <c r="N15" s="90"/>
      <c r="O15" s="84"/>
      <c r="P15" s="85"/>
    </row>
    <row r="16" spans="1:21" s="6" customFormat="1" ht="30" customHeight="1" x14ac:dyDescent="0.25">
      <c r="A16" s="87" t="s">
        <v>49</v>
      </c>
      <c r="B16" s="88"/>
      <c r="C16" s="88"/>
      <c r="D16" s="88"/>
      <c r="E16" s="88"/>
      <c r="F16" s="88"/>
      <c r="G16" s="88"/>
      <c r="H16" s="88"/>
      <c r="J16" s="91" t="s">
        <v>50</v>
      </c>
      <c r="K16" s="91"/>
      <c r="L16" s="92"/>
      <c r="M16" s="92"/>
      <c r="N16" s="92"/>
      <c r="O16" s="93"/>
      <c r="P16" s="93"/>
      <c r="Q16" s="94"/>
    </row>
    <row r="17" spans="1:17" s="6" customFormat="1" ht="30" customHeight="1" thickBot="1" x14ac:dyDescent="0.3">
      <c r="A17" s="87"/>
      <c r="B17" s="88"/>
      <c r="C17" s="88"/>
      <c r="D17" s="88"/>
      <c r="E17" s="88"/>
      <c r="F17" s="88"/>
      <c r="G17" s="88"/>
      <c r="H17" s="88"/>
      <c r="K17" s="7" t="s">
        <v>51</v>
      </c>
      <c r="L17" s="92"/>
      <c r="M17" s="92"/>
      <c r="N17" s="92"/>
      <c r="Q17" s="95"/>
    </row>
    <row r="18" spans="1:17" s="6" customFormat="1" ht="30" customHeight="1" thickBot="1" x14ac:dyDescent="0.3">
      <c r="A18" s="87"/>
      <c r="B18" s="88"/>
      <c r="C18" s="88"/>
      <c r="D18" s="88"/>
      <c r="E18" s="88"/>
      <c r="F18" s="88"/>
      <c r="G18" s="88"/>
      <c r="H18" s="88"/>
      <c r="N18" s="6" t="s">
        <v>52</v>
      </c>
      <c r="Q18" s="96" t="str">
        <f>IF(COUNTIF(Q6:Q13,cst_ERR)&gt;0,cst_ERR,IF(COUNTIF(Q6:Q13,cst_NA)&gt;0,cst_NA,IF(COUNTIF(Q6:Q13,cst_PA)&gt;0,cst_PA,IF(COUNTIF(Q6:Q13,cst_A)&gt;=COUNTIF(Q6:Q13,cst_LA),IF(COUNTIF(Q6:Q13,cst_A)=0,"",cst_A),cst_LA))))</f>
        <v/>
      </c>
    </row>
    <row r="19" spans="1:17" ht="20.25" hidden="1" x14ac:dyDescent="0.3">
      <c r="K19" s="98"/>
      <c r="L19" s="98"/>
      <c r="M19" s="98"/>
    </row>
    <row r="20" spans="1:17" x14ac:dyDescent="0.2"/>
    <row r="22" spans="1:17" ht="15" hidden="1" x14ac:dyDescent="0.25">
      <c r="A22" s="99" t="s">
        <v>53</v>
      </c>
    </row>
    <row r="23" spans="1:17" hidden="1" x14ac:dyDescent="0.2">
      <c r="A23" s="100">
        <v>1</v>
      </c>
    </row>
    <row r="24" spans="1:17" hidden="1" x14ac:dyDescent="0.2">
      <c r="A24" s="100">
        <v>1.5</v>
      </c>
    </row>
    <row r="25" spans="1:17" hidden="1" x14ac:dyDescent="0.2">
      <c r="A25" s="100">
        <v>2</v>
      </c>
    </row>
    <row r="26" spans="1:17" hidden="1" x14ac:dyDescent="0.2">
      <c r="A26" s="101">
        <v>2.5</v>
      </c>
    </row>
    <row r="27" spans="1:17" hidden="1" x14ac:dyDescent="0.2">
      <c r="A27" s="101">
        <v>3</v>
      </c>
    </row>
    <row r="28" spans="1:17" hidden="1" x14ac:dyDescent="0.2">
      <c r="A28" s="101">
        <v>3.5</v>
      </c>
    </row>
    <row r="29" spans="1:17" hidden="1" x14ac:dyDescent="0.2">
      <c r="A29" s="102">
        <v>4</v>
      </c>
    </row>
    <row r="30" spans="1:17" hidden="1" x14ac:dyDescent="0.2">
      <c r="A30" s="102">
        <v>4.5</v>
      </c>
    </row>
    <row r="31" spans="1:17" hidden="1" x14ac:dyDescent="0.2">
      <c r="A31" s="102">
        <v>5</v>
      </c>
    </row>
    <row r="32" spans="1:17" hidden="1" x14ac:dyDescent="0.2">
      <c r="A32" s="103">
        <v>5.5</v>
      </c>
    </row>
    <row r="33" spans="1:1" hidden="1" x14ac:dyDescent="0.2">
      <c r="A33" s="103">
        <v>6</v>
      </c>
    </row>
  </sheetData>
  <sheetProtection sheet="1" objects="1" scenarios="1" selectLockedCells="1"/>
  <protectedRanges>
    <protectedRange sqref="D6:Q13 L15:L17 A15:H18" name="Cellules modifiables_8"/>
  </protectedRanges>
  <mergeCells count="18">
    <mergeCell ref="A17:H17"/>
    <mergeCell ref="L17:N17"/>
    <mergeCell ref="A18:H18"/>
    <mergeCell ref="K19:M19"/>
    <mergeCell ref="O14:O15"/>
    <mergeCell ref="A15:H15"/>
    <mergeCell ref="J15:K15"/>
    <mergeCell ref="L15:N15"/>
    <mergeCell ref="A16:H16"/>
    <mergeCell ref="J16:K16"/>
    <mergeCell ref="L16:N16"/>
    <mergeCell ref="D5:F5"/>
    <mergeCell ref="G5:I5"/>
    <mergeCell ref="J5:L5"/>
    <mergeCell ref="M5:O5"/>
    <mergeCell ref="A6:A13"/>
    <mergeCell ref="B6:B9"/>
    <mergeCell ref="B10:B12"/>
  </mergeCells>
  <conditionalFormatting sqref="Q18">
    <cfRule type="cellIs" dxfId="11" priority="1" operator="equal">
      <formula>cst_LA</formula>
    </cfRule>
    <cfRule type="cellIs" dxfId="10" priority="2" operator="equal">
      <formula>cst_A</formula>
    </cfRule>
    <cfRule type="cellIs" dxfId="9" priority="3" operator="equal">
      <formula>cst_PA</formula>
    </cfRule>
    <cfRule type="cellIs" dxfId="8" priority="10" operator="equal">
      <formula>cst_NA</formula>
    </cfRule>
    <cfRule type="cellIs" dxfId="7" priority="11" operator="equal">
      <formula>cst_ERR</formula>
    </cfRule>
  </conditionalFormatting>
  <conditionalFormatting sqref="C6:Q13">
    <cfRule type="expression" dxfId="6" priority="4" stopIfTrue="1">
      <formula>IF($Q6=cst_ignore,"VRAI","FAUX")</formula>
    </cfRule>
  </conditionalFormatting>
  <conditionalFormatting sqref="Q6:Q13">
    <cfRule type="expression" dxfId="5" priority="5">
      <formula>IF($Q6=cst_LA,"VRAI","FAUX")</formula>
    </cfRule>
    <cfRule type="expression" dxfId="4" priority="9">
      <formula>IF($Q6=cst_ERR,"VRAI","FAUX")</formula>
    </cfRule>
  </conditionalFormatting>
  <conditionalFormatting sqref="Q6:Q13">
    <cfRule type="expression" dxfId="3" priority="6">
      <formula>IF($Q6=cst_A,"VRAI","FAUX")</formula>
    </cfRule>
    <cfRule type="expression" dxfId="2" priority="7">
      <formula>IF($Q6=cst_PA,"VRAI","FAUX")</formula>
    </cfRule>
    <cfRule type="expression" dxfId="1" priority="8">
      <formula>IF($Q6=cst_NA,"VRAI","FAUX")</formula>
    </cfRule>
  </conditionalFormatting>
  <conditionalFormatting sqref="C13:Q13">
    <cfRule type="expression" dxfId="0" priority="12" stopIfTrue="1">
      <formula>IF($Q13=$T$1,"VRAI","FAUX")</formula>
    </cfRule>
  </conditionalFormatting>
  <dataValidations count="5">
    <dataValidation type="list" allowBlank="1" showInputMessage="1" showErrorMessage="1" sqref="F6:F13" xr:uid="{4A7ED4F7-6025-415A-A332-D3A51DA261FD}">
      <formula1>$S$2</formula1>
    </dataValidation>
    <dataValidation type="list" allowBlank="1" showInputMessage="1" showErrorMessage="1" sqref="I6:I13" xr:uid="{6109EFB6-CE71-42A4-BBDE-BD449E7E8BBB}">
      <formula1>$S$3</formula1>
    </dataValidation>
    <dataValidation type="list" allowBlank="1" showInputMessage="1" showErrorMessage="1" sqref="L6:L13" xr:uid="{C5E63079-246B-412D-B50B-6C976E13F26B}">
      <formula1>$S$4</formula1>
    </dataValidation>
    <dataValidation type="list" allowBlank="1" showInputMessage="1" showErrorMessage="1" sqref="O6:O13" xr:uid="{30B07750-C0DD-4D6A-9052-4BE2B923542A}">
      <formula1>$S$5</formula1>
    </dataValidation>
    <dataValidation type="list" allowBlank="1" showInputMessage="1" showErrorMessage="1" sqref="P6:P13" xr:uid="{72BC16EA-509A-41A4-AFE1-8D4D657FA114}">
      <formula1>$T$2:$T$3</formula1>
    </dataValidation>
  </dataValidations>
  <printOptions horizontalCentered="1" verticalCentered="1"/>
  <pageMargins left="0.27559055118110237" right="0.27559055118110237" top="0.39370078740157483" bottom="0.39370078740157483" header="0.19685039370078741" footer="0.19685039370078741"/>
  <pageSetup paperSize="9" scale="60" orientation="landscape" r:id="rId1"/>
  <headerFooter alignWithMargins="0">
    <oddHeader>&amp;L&amp;"ETML L,Normal"ETML&amp;R&amp;G</oddHeader>
    <oddFooter>&amp;L&amp;8&amp;D&amp;C&amp;8&amp;F  -  &amp;A&amp;R&amp;8Page &amp;P/&amp;N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271E4-2969-4AC1-8E12-358D624F81B8}">
  <sheetPr>
    <pageSetUpPr fitToPage="1"/>
  </sheetPr>
  <dimension ref="A1:U33"/>
  <sheetViews>
    <sheetView showGridLines="0" zoomScale="70" zoomScaleNormal="70" workbookViewId="0">
      <selection activeCell="D13" sqref="D13"/>
    </sheetView>
  </sheetViews>
  <sheetFormatPr baseColWidth="10" defaultColWidth="12.85546875" defaultRowHeight="12.75" customHeight="1" zeroHeight="1" x14ac:dyDescent="0.2"/>
  <cols>
    <col min="1" max="1" width="7.85546875" style="97" customWidth="1"/>
    <col min="2" max="2" width="11" style="97" customWidth="1"/>
    <col min="3" max="3" width="49.5703125" style="97" customWidth="1"/>
    <col min="4" max="4" width="7.7109375" style="97" customWidth="1"/>
    <col min="5" max="5" width="15.7109375" style="97" customWidth="1"/>
    <col min="6" max="7" width="7.7109375" style="97" customWidth="1"/>
    <col min="8" max="8" width="15.7109375" style="97" customWidth="1"/>
    <col min="9" max="10" width="7.7109375" style="97" customWidth="1"/>
    <col min="11" max="11" width="15.7109375" style="97" customWidth="1"/>
    <col min="12" max="13" width="7.7109375" style="97" customWidth="1"/>
    <col min="14" max="14" width="15.7109375" style="97" customWidth="1"/>
    <col min="15" max="16" width="7.7109375" style="97" customWidth="1"/>
    <col min="17" max="17" width="11.140625" style="97" bestFit="1" customWidth="1"/>
    <col min="18" max="18" width="12.85546875" style="97"/>
    <col min="19" max="19" width="25.42578125" style="97" hidden="1" customWidth="1"/>
    <col min="20" max="20" width="12.85546875" style="97" hidden="1" customWidth="1"/>
    <col min="21" max="21" width="10.5703125" style="97" bestFit="1" customWidth="1"/>
    <col min="22" max="16384" width="12.85546875" style="97"/>
  </cols>
  <sheetData>
    <row r="1" spans="1:21" s="2" customFormat="1" ht="30" customHeight="1" thickBot="1" x14ac:dyDescent="0.55000000000000004">
      <c r="A1" s="1" t="s">
        <v>3</v>
      </c>
      <c r="Q1" s="3"/>
      <c r="S1" s="4" t="s">
        <v>4</v>
      </c>
      <c r="T1" s="4" t="s">
        <v>5</v>
      </c>
    </row>
    <row r="2" spans="1:21" s="6" customFormat="1" ht="19.899999999999999" customHeight="1" thickTop="1" x14ac:dyDescent="0.25">
      <c r="A2" s="5" t="s">
        <v>6</v>
      </c>
      <c r="D2" s="7" t="s">
        <v>7</v>
      </c>
      <c r="E2" s="8" t="s">
        <v>56</v>
      </c>
      <c r="F2" s="9"/>
      <c r="G2" s="9"/>
      <c r="H2" s="10"/>
      <c r="I2" s="7" t="s">
        <v>9</v>
      </c>
      <c r="J2" s="8" t="s">
        <v>10</v>
      </c>
      <c r="K2" s="9"/>
      <c r="L2" s="9"/>
      <c r="M2" s="9"/>
      <c r="N2" s="10"/>
      <c r="O2" s="10"/>
      <c r="P2" s="10"/>
      <c r="Q2" s="10"/>
      <c r="S2" s="11" t="s">
        <v>11</v>
      </c>
      <c r="T2" s="11" t="b">
        <v>1</v>
      </c>
    </row>
    <row r="3" spans="1:21" s="6" customFormat="1" ht="19.899999999999999" customHeight="1" x14ac:dyDescent="0.25">
      <c r="A3" s="12"/>
      <c r="B3" s="13"/>
      <c r="D3" s="14" t="s">
        <v>12</v>
      </c>
      <c r="E3" s="15" t="s">
        <v>13</v>
      </c>
      <c r="F3" s="16"/>
      <c r="G3" s="16"/>
      <c r="H3" s="10"/>
      <c r="I3" s="14" t="s">
        <v>14</v>
      </c>
      <c r="J3" s="15">
        <v>10</v>
      </c>
      <c r="K3" s="17"/>
      <c r="L3" s="16"/>
      <c r="M3" s="16"/>
      <c r="N3" s="10"/>
      <c r="O3" s="10"/>
      <c r="P3" s="10"/>
      <c r="Q3" s="10"/>
      <c r="S3" s="18" t="s">
        <v>15</v>
      </c>
      <c r="T3" s="18" t="b">
        <v>0</v>
      </c>
    </row>
    <row r="4" spans="1:21" s="19" customFormat="1" ht="19.899999999999999" customHeight="1" thickBot="1" x14ac:dyDescent="0.3">
      <c r="A4" s="12"/>
      <c r="B4" s="13"/>
      <c r="D4" s="7" t="s">
        <v>16</v>
      </c>
      <c r="E4" s="20" t="s">
        <v>17</v>
      </c>
      <c r="F4" s="21"/>
      <c r="G4" s="21"/>
      <c r="H4" s="22"/>
      <c r="I4" s="14" t="s">
        <v>18</v>
      </c>
      <c r="J4" s="23" t="s">
        <v>19</v>
      </c>
      <c r="K4" s="24"/>
      <c r="L4" s="21"/>
      <c r="M4" s="21"/>
      <c r="N4" s="25"/>
      <c r="O4" s="25"/>
      <c r="P4" s="25"/>
      <c r="Q4" s="25"/>
      <c r="S4" s="26" t="s">
        <v>20</v>
      </c>
      <c r="T4" s="27"/>
      <c r="U4" s="27"/>
    </row>
    <row r="5" spans="1:21" s="6" customFormat="1" ht="25.15" customHeight="1" thickTop="1" thickBot="1" x14ac:dyDescent="0.3">
      <c r="C5" s="28"/>
      <c r="D5" s="29" t="s">
        <v>21</v>
      </c>
      <c r="E5" s="30"/>
      <c r="F5" s="30"/>
      <c r="G5" s="31" t="s">
        <v>22</v>
      </c>
      <c r="H5" s="32"/>
      <c r="I5" s="32"/>
      <c r="J5" s="33" t="s">
        <v>23</v>
      </c>
      <c r="K5" s="34"/>
      <c r="L5" s="34"/>
      <c r="M5" s="35" t="s">
        <v>24</v>
      </c>
      <c r="N5" s="36"/>
      <c r="O5" s="36"/>
      <c r="P5" s="37" t="s">
        <v>5</v>
      </c>
      <c r="Q5" s="38" t="s">
        <v>25</v>
      </c>
      <c r="S5" s="18" t="s">
        <v>26</v>
      </c>
      <c r="T5" s="27"/>
      <c r="U5" s="27"/>
    </row>
    <row r="6" spans="1:21" s="56" customFormat="1" ht="75" customHeight="1" thickTop="1" x14ac:dyDescent="0.25">
      <c r="A6" s="39" t="s">
        <v>27</v>
      </c>
      <c r="B6" s="40" t="s">
        <v>28</v>
      </c>
      <c r="C6" s="41" t="s">
        <v>29</v>
      </c>
      <c r="D6" s="42" t="s">
        <v>30</v>
      </c>
      <c r="E6" s="43" t="s">
        <v>31</v>
      </c>
      <c r="F6" s="44"/>
      <c r="G6" s="45" t="s">
        <v>30</v>
      </c>
      <c r="H6" s="46" t="s">
        <v>32</v>
      </c>
      <c r="I6" s="47"/>
      <c r="J6" s="48" t="s">
        <v>30</v>
      </c>
      <c r="K6" s="49" t="s">
        <v>33</v>
      </c>
      <c r="L6" s="50"/>
      <c r="M6" s="51" t="s">
        <v>30</v>
      </c>
      <c r="N6" s="52" t="s">
        <v>34</v>
      </c>
      <c r="O6" s="53"/>
      <c r="P6" s="54" t="b">
        <v>0</v>
      </c>
      <c r="Q6" s="55" t="str" cm="1">
        <f t="array" ref="Q6">IF(P6=cst_ignore_VRAI,cst_ignore,IF(COUNTA(F6,I6,L6,O6)&gt;1,cst_ERR,CONCATENATE(F6,I6,L6,O6)))</f>
        <v/>
      </c>
      <c r="S6" s="26" t="s">
        <v>35</v>
      </c>
      <c r="T6" s="27"/>
      <c r="U6" s="27"/>
    </row>
    <row r="7" spans="1:21" s="56" customFormat="1" ht="75" customHeight="1" x14ac:dyDescent="0.2">
      <c r="A7" s="57"/>
      <c r="B7" s="58"/>
      <c r="C7" s="59" t="s">
        <v>36</v>
      </c>
      <c r="D7" s="42" t="s">
        <v>30</v>
      </c>
      <c r="E7" s="43" t="s">
        <v>31</v>
      </c>
      <c r="F7" s="44"/>
      <c r="G7" s="45" t="s">
        <v>30</v>
      </c>
      <c r="H7" s="46" t="s">
        <v>32</v>
      </c>
      <c r="I7" s="47"/>
      <c r="J7" s="48" t="s">
        <v>30</v>
      </c>
      <c r="K7" s="49" t="s">
        <v>33</v>
      </c>
      <c r="L7" s="50"/>
      <c r="M7" s="51" t="s">
        <v>30</v>
      </c>
      <c r="N7" s="52" t="s">
        <v>34</v>
      </c>
      <c r="O7" s="53"/>
      <c r="P7" s="54" t="b">
        <v>0</v>
      </c>
      <c r="Q7" s="55" t="str" cm="1">
        <f t="array" ref="Q7">IF(P7=cst_ignore_VRAI,cst_ignore,IF(COUNTA(F7,I7,L7,O7)&gt;1,cst_ERR,CONCATENATE(F7,I7,L7,O7)))</f>
        <v/>
      </c>
    </row>
    <row r="8" spans="1:21" s="56" customFormat="1" ht="75" customHeight="1" x14ac:dyDescent="0.2">
      <c r="A8" s="57"/>
      <c r="B8" s="58"/>
      <c r="C8" s="59" t="s">
        <v>37</v>
      </c>
      <c r="D8" s="42" t="s">
        <v>30</v>
      </c>
      <c r="E8" s="43" t="s">
        <v>31</v>
      </c>
      <c r="F8" s="44"/>
      <c r="G8" s="45" t="s">
        <v>30</v>
      </c>
      <c r="H8" s="46" t="s">
        <v>32</v>
      </c>
      <c r="I8" s="47"/>
      <c r="J8" s="48" t="s">
        <v>30</v>
      </c>
      <c r="K8" s="49" t="s">
        <v>33</v>
      </c>
      <c r="L8" s="50"/>
      <c r="M8" s="51" t="s">
        <v>30</v>
      </c>
      <c r="N8" s="52" t="s">
        <v>34</v>
      </c>
      <c r="O8" s="53"/>
      <c r="P8" s="54" t="b">
        <v>0</v>
      </c>
      <c r="Q8" s="55" t="str" cm="1">
        <f t="array" ref="Q8">IF(P8=cst_ignore_VRAI,cst_ignore,IF(COUNTA(F8,I8,L8,O8)&gt;1,cst_ERR,CONCATENATE(F8,I8,L8,O8)))</f>
        <v/>
      </c>
    </row>
    <row r="9" spans="1:21" s="56" customFormat="1" ht="75" customHeight="1" x14ac:dyDescent="0.2">
      <c r="A9" s="57"/>
      <c r="B9" s="60"/>
      <c r="C9" s="59" t="s">
        <v>38</v>
      </c>
      <c r="D9" s="42" t="s">
        <v>30</v>
      </c>
      <c r="E9" s="43" t="s">
        <v>31</v>
      </c>
      <c r="F9" s="44"/>
      <c r="G9" s="45" t="s">
        <v>30</v>
      </c>
      <c r="H9" s="46" t="s">
        <v>32</v>
      </c>
      <c r="I9" s="47"/>
      <c r="J9" s="48" t="s">
        <v>30</v>
      </c>
      <c r="K9" s="49" t="s">
        <v>33</v>
      </c>
      <c r="L9" s="50"/>
      <c r="M9" s="51" t="s">
        <v>30</v>
      </c>
      <c r="N9" s="52" t="s">
        <v>34</v>
      </c>
      <c r="O9" s="53"/>
      <c r="P9" s="54" t="b">
        <v>0</v>
      </c>
      <c r="Q9" s="55" t="str" cm="1">
        <f t="array" ref="Q9">IF(P9=cst_ignore_VRAI,cst_ignore,IF(COUNTA(F9,I9,L9,O9)&gt;1,cst_ERR,CONCATENATE(F9,I9,L9,O9)))</f>
        <v/>
      </c>
    </row>
    <row r="10" spans="1:21" s="56" customFormat="1" ht="75" customHeight="1" x14ac:dyDescent="0.2">
      <c r="A10" s="57"/>
      <c r="B10" s="61" t="s">
        <v>39</v>
      </c>
      <c r="C10" s="59" t="s">
        <v>40</v>
      </c>
      <c r="D10" s="42" t="s">
        <v>30</v>
      </c>
      <c r="E10" s="43" t="s">
        <v>31</v>
      </c>
      <c r="F10" s="44"/>
      <c r="G10" s="45" t="s">
        <v>30</v>
      </c>
      <c r="H10" s="46" t="s">
        <v>32</v>
      </c>
      <c r="I10" s="47"/>
      <c r="J10" s="48" t="s">
        <v>30</v>
      </c>
      <c r="K10" s="49" t="s">
        <v>33</v>
      </c>
      <c r="L10" s="50"/>
      <c r="M10" s="51" t="s">
        <v>30</v>
      </c>
      <c r="N10" s="52" t="s">
        <v>34</v>
      </c>
      <c r="O10" s="53"/>
      <c r="P10" s="54" t="b">
        <v>0</v>
      </c>
      <c r="Q10" s="55" t="str" cm="1">
        <f t="array" ref="Q10">IF(P10=cst_ignore_VRAI,cst_ignore,IF(COUNTA(F10,I10,L10,O10)&gt;1,cst_ERR,CONCATENATE(F10,I10,L10,O10)))</f>
        <v/>
      </c>
    </row>
    <row r="11" spans="1:21" s="56" customFormat="1" ht="75" customHeight="1" x14ac:dyDescent="0.2">
      <c r="A11" s="57"/>
      <c r="B11" s="62"/>
      <c r="C11" s="59" t="s">
        <v>41</v>
      </c>
      <c r="D11" s="42" t="s">
        <v>30</v>
      </c>
      <c r="E11" s="43" t="s">
        <v>31</v>
      </c>
      <c r="F11" s="44"/>
      <c r="G11" s="45" t="s">
        <v>30</v>
      </c>
      <c r="H11" s="46" t="s">
        <v>32</v>
      </c>
      <c r="I11" s="47"/>
      <c r="J11" s="48" t="s">
        <v>30</v>
      </c>
      <c r="K11" s="49" t="s">
        <v>33</v>
      </c>
      <c r="L11" s="50"/>
      <c r="M11" s="51" t="s">
        <v>30</v>
      </c>
      <c r="N11" s="52" t="s">
        <v>34</v>
      </c>
      <c r="O11" s="53"/>
      <c r="P11" s="54" t="b">
        <v>0</v>
      </c>
      <c r="Q11" s="55" t="str" cm="1">
        <f t="array" ref="Q11">IF(P11=cst_ignore_VRAI,cst_ignore,IF(COUNTA(F11,I11,L11,O11)&gt;1,cst_ERR,CONCATENATE(F11,I11,L11,O11)))</f>
        <v/>
      </c>
      <c r="R11" s="63"/>
    </row>
    <row r="12" spans="1:21" s="56" customFormat="1" ht="75" customHeight="1" x14ac:dyDescent="0.2">
      <c r="A12" s="57"/>
      <c r="B12" s="64"/>
      <c r="C12" s="59" t="s">
        <v>42</v>
      </c>
      <c r="D12" s="42" t="s">
        <v>30</v>
      </c>
      <c r="E12" s="43" t="s">
        <v>31</v>
      </c>
      <c r="F12" s="44"/>
      <c r="G12" s="45" t="s">
        <v>30</v>
      </c>
      <c r="H12" s="46" t="s">
        <v>32</v>
      </c>
      <c r="I12" s="47"/>
      <c r="J12" s="48" t="s">
        <v>30</v>
      </c>
      <c r="K12" s="49" t="s">
        <v>33</v>
      </c>
      <c r="L12" s="50"/>
      <c r="M12" s="51" t="s">
        <v>30</v>
      </c>
      <c r="N12" s="52" t="s">
        <v>34</v>
      </c>
      <c r="O12" s="53"/>
      <c r="P12" s="54" t="b">
        <v>0</v>
      </c>
      <c r="Q12" s="55" t="str" cm="1">
        <f t="array" ref="Q12">IF(P12=cst_ignore_VRAI,cst_ignore,IF(COUNTA(F12,I12,L12,O12)&gt;1,cst_ERR,CONCATENATE(F12,I12,L12,O12)))</f>
        <v/>
      </c>
    </row>
    <row r="13" spans="1:21" s="56" customFormat="1" ht="75" customHeight="1" thickBot="1" x14ac:dyDescent="0.25">
      <c r="A13" s="65"/>
      <c r="B13" s="66" t="s">
        <v>43</v>
      </c>
      <c r="C13" s="67" t="s">
        <v>44</v>
      </c>
      <c r="D13" s="68" t="s">
        <v>30</v>
      </c>
      <c r="E13" s="69" t="s">
        <v>31</v>
      </c>
      <c r="F13" s="70"/>
      <c r="G13" s="71" t="s">
        <v>30</v>
      </c>
      <c r="H13" s="72" t="s">
        <v>32</v>
      </c>
      <c r="I13" s="73"/>
      <c r="J13" s="74" t="s">
        <v>30</v>
      </c>
      <c r="K13" s="75" t="s">
        <v>33</v>
      </c>
      <c r="L13" s="76"/>
      <c r="M13" s="77" t="s">
        <v>30</v>
      </c>
      <c r="N13" s="78" t="s">
        <v>34</v>
      </c>
      <c r="O13" s="79"/>
      <c r="P13" s="80" t="b">
        <v>1</v>
      </c>
      <c r="Q13" s="81" t="str" cm="1">
        <f t="array" ref="Q13">IF(P13=cst_ignore_VRAI,cst_ignore,IF(COUNTA(F13,I13,L13,O13)&gt;1,cst_ERR,CONCATENATE(F13,I13,L13,O13)))</f>
        <v>Ignoré</v>
      </c>
    </row>
    <row r="14" spans="1:21" s="6" customFormat="1" ht="25.15" customHeight="1" thickTop="1" x14ac:dyDescent="0.25">
      <c r="A14" s="82" t="s">
        <v>45</v>
      </c>
      <c r="L14" s="19"/>
      <c r="M14" s="19"/>
      <c r="N14" s="83"/>
      <c r="O14" s="84" t="s">
        <v>46</v>
      </c>
      <c r="P14" s="85"/>
      <c r="Q14" s="86"/>
    </row>
    <row r="15" spans="1:21" s="6" customFormat="1" ht="30" customHeight="1" x14ac:dyDescent="0.25">
      <c r="A15" s="87" t="s">
        <v>47</v>
      </c>
      <c r="B15" s="88"/>
      <c r="C15" s="88"/>
      <c r="D15" s="88"/>
      <c r="E15" s="88"/>
      <c r="F15" s="88"/>
      <c r="G15" s="88"/>
      <c r="H15" s="88"/>
      <c r="J15" s="89" t="s">
        <v>48</v>
      </c>
      <c r="K15" s="89"/>
      <c r="L15" s="90"/>
      <c r="M15" s="90"/>
      <c r="N15" s="90"/>
      <c r="O15" s="84"/>
      <c r="P15" s="85"/>
    </row>
    <row r="16" spans="1:21" s="6" customFormat="1" ht="30" customHeight="1" x14ac:dyDescent="0.25">
      <c r="A16" s="87" t="s">
        <v>49</v>
      </c>
      <c r="B16" s="88"/>
      <c r="C16" s="88"/>
      <c r="D16" s="88"/>
      <c r="E16" s="88"/>
      <c r="F16" s="88"/>
      <c r="G16" s="88"/>
      <c r="H16" s="88"/>
      <c r="J16" s="91" t="s">
        <v>50</v>
      </c>
      <c r="K16" s="91"/>
      <c r="L16" s="92"/>
      <c r="M16" s="92"/>
      <c r="N16" s="92"/>
      <c r="O16" s="93"/>
      <c r="P16" s="93"/>
      <c r="Q16" s="94"/>
    </row>
    <row r="17" spans="1:17" s="6" customFormat="1" ht="30" customHeight="1" thickBot="1" x14ac:dyDescent="0.3">
      <c r="A17" s="87"/>
      <c r="B17" s="88"/>
      <c r="C17" s="88"/>
      <c r="D17" s="88"/>
      <c r="E17" s="88"/>
      <c r="F17" s="88"/>
      <c r="G17" s="88"/>
      <c r="H17" s="88"/>
      <c r="K17" s="7" t="s">
        <v>51</v>
      </c>
      <c r="L17" s="92"/>
      <c r="M17" s="92"/>
      <c r="N17" s="92"/>
      <c r="Q17" s="95"/>
    </row>
    <row r="18" spans="1:17" s="6" customFormat="1" ht="30" customHeight="1" thickBot="1" x14ac:dyDescent="0.3">
      <c r="A18" s="87"/>
      <c r="B18" s="88"/>
      <c r="C18" s="88"/>
      <c r="D18" s="88"/>
      <c r="E18" s="88"/>
      <c r="F18" s="88"/>
      <c r="G18" s="88"/>
      <c r="H18" s="88"/>
      <c r="N18" s="6" t="s">
        <v>52</v>
      </c>
      <c r="Q18" s="96" t="str">
        <f>IF(COUNTIF(Q6:Q13,cst_ERR)&gt;0,cst_ERR,IF(COUNTIF(Q6:Q13,cst_NA)&gt;0,cst_NA,IF(COUNTIF(Q6:Q13,cst_PA)&gt;0,cst_PA,IF(COUNTIF(Q6:Q13,cst_A)&gt;=COUNTIF(Q6:Q13,cst_LA),IF(COUNTIF(Q6:Q13,cst_A)=0,"",cst_A),cst_LA))))</f>
        <v/>
      </c>
    </row>
    <row r="19" spans="1:17" ht="20.25" hidden="1" x14ac:dyDescent="0.3">
      <c r="K19" s="98"/>
      <c r="L19" s="98"/>
      <c r="M19" s="98"/>
    </row>
    <row r="20" spans="1:17" x14ac:dyDescent="0.2"/>
    <row r="22" spans="1:17" ht="15" hidden="1" x14ac:dyDescent="0.25">
      <c r="A22" s="99" t="s">
        <v>53</v>
      </c>
    </row>
    <row r="23" spans="1:17" hidden="1" x14ac:dyDescent="0.2">
      <c r="A23" s="100">
        <v>1</v>
      </c>
    </row>
    <row r="24" spans="1:17" hidden="1" x14ac:dyDescent="0.2">
      <c r="A24" s="100">
        <v>1.5</v>
      </c>
    </row>
    <row r="25" spans="1:17" hidden="1" x14ac:dyDescent="0.2">
      <c r="A25" s="100">
        <v>2</v>
      </c>
    </row>
    <row r="26" spans="1:17" hidden="1" x14ac:dyDescent="0.2">
      <c r="A26" s="101">
        <v>2.5</v>
      </c>
    </row>
    <row r="27" spans="1:17" hidden="1" x14ac:dyDescent="0.2">
      <c r="A27" s="101">
        <v>3</v>
      </c>
    </row>
    <row r="28" spans="1:17" hidden="1" x14ac:dyDescent="0.2">
      <c r="A28" s="101">
        <v>3.5</v>
      </c>
    </row>
    <row r="29" spans="1:17" hidden="1" x14ac:dyDescent="0.2">
      <c r="A29" s="102">
        <v>4</v>
      </c>
    </row>
    <row r="30" spans="1:17" hidden="1" x14ac:dyDescent="0.2">
      <c r="A30" s="102">
        <v>4.5</v>
      </c>
    </row>
    <row r="31" spans="1:17" hidden="1" x14ac:dyDescent="0.2">
      <c r="A31" s="102">
        <v>5</v>
      </c>
    </row>
    <row r="32" spans="1:17" hidden="1" x14ac:dyDescent="0.2">
      <c r="A32" s="103">
        <v>5.5</v>
      </c>
    </row>
    <row r="33" spans="1:1" hidden="1" x14ac:dyDescent="0.2">
      <c r="A33" s="103">
        <v>6</v>
      </c>
    </row>
  </sheetData>
  <sheetProtection sheet="1" objects="1" scenarios="1" selectLockedCells="1"/>
  <protectedRanges>
    <protectedRange sqref="D6:Q13 L15:L17 A15:H18" name="Cellules modifiables_8"/>
  </protectedRanges>
  <mergeCells count="18">
    <mergeCell ref="A17:H17"/>
    <mergeCell ref="L17:N17"/>
    <mergeCell ref="A18:H18"/>
    <mergeCell ref="K19:M19"/>
    <mergeCell ref="O14:O15"/>
    <mergeCell ref="A15:H15"/>
    <mergeCell ref="J15:K15"/>
    <mergeCell ref="L15:N15"/>
    <mergeCell ref="A16:H16"/>
    <mergeCell ref="J16:K16"/>
    <mergeCell ref="L16:N16"/>
    <mergeCell ref="D5:F5"/>
    <mergeCell ref="G5:I5"/>
    <mergeCell ref="J5:L5"/>
    <mergeCell ref="M5:O5"/>
    <mergeCell ref="A6:A13"/>
    <mergeCell ref="B6:B9"/>
    <mergeCell ref="B10:B12"/>
  </mergeCells>
  <conditionalFormatting sqref="Q18">
    <cfRule type="cellIs" dxfId="23" priority="1" operator="equal">
      <formula>cst_LA</formula>
    </cfRule>
    <cfRule type="cellIs" dxfId="22" priority="2" operator="equal">
      <formula>cst_A</formula>
    </cfRule>
    <cfRule type="cellIs" dxfId="21" priority="3" operator="equal">
      <formula>cst_PA</formula>
    </cfRule>
    <cfRule type="cellIs" dxfId="20" priority="10" operator="equal">
      <formula>cst_NA</formula>
    </cfRule>
    <cfRule type="cellIs" dxfId="19" priority="11" operator="equal">
      <formula>cst_ERR</formula>
    </cfRule>
  </conditionalFormatting>
  <conditionalFormatting sqref="C6:Q13">
    <cfRule type="expression" dxfId="18" priority="4" stopIfTrue="1">
      <formula>IF($Q6=cst_ignore,"VRAI","FAUX")</formula>
    </cfRule>
  </conditionalFormatting>
  <conditionalFormatting sqref="Q6:Q13">
    <cfRule type="expression" dxfId="17" priority="5">
      <formula>IF($Q6=cst_LA,"VRAI","FAUX")</formula>
    </cfRule>
    <cfRule type="expression" dxfId="16" priority="9">
      <formula>IF($Q6=cst_ERR,"VRAI","FAUX")</formula>
    </cfRule>
  </conditionalFormatting>
  <conditionalFormatting sqref="Q6:Q13">
    <cfRule type="expression" dxfId="15" priority="6">
      <formula>IF($Q6=cst_A,"VRAI","FAUX")</formula>
    </cfRule>
    <cfRule type="expression" dxfId="14" priority="7">
      <formula>IF($Q6=cst_PA,"VRAI","FAUX")</formula>
    </cfRule>
    <cfRule type="expression" dxfId="13" priority="8">
      <formula>IF($Q6=cst_NA,"VRAI","FAUX")</formula>
    </cfRule>
  </conditionalFormatting>
  <conditionalFormatting sqref="C13:Q13">
    <cfRule type="expression" dxfId="12" priority="12" stopIfTrue="1">
      <formula>IF($Q13=$T$1,"VRAI","FAUX")</formula>
    </cfRule>
  </conditionalFormatting>
  <dataValidations count="5">
    <dataValidation type="list" allowBlank="1" showInputMessage="1" showErrorMessage="1" sqref="F6:F13" xr:uid="{C9483C24-9937-4B4E-846C-7DCA25D8AF22}">
      <formula1>$S$2</formula1>
    </dataValidation>
    <dataValidation type="list" allowBlank="1" showInputMessage="1" showErrorMessage="1" sqref="I6:I13" xr:uid="{2D88E504-3C61-4B3B-AF7C-344DC18638DF}">
      <formula1>$S$3</formula1>
    </dataValidation>
    <dataValidation type="list" allowBlank="1" showInputMessage="1" showErrorMessage="1" sqref="L6:L13" xr:uid="{10F52DB1-8592-4B8C-9363-D61DBC111F52}">
      <formula1>$S$4</formula1>
    </dataValidation>
    <dataValidation type="list" allowBlank="1" showInputMessage="1" showErrorMessage="1" sqref="O6:O13" xr:uid="{C1751FCD-4855-4FE4-B2D9-86CBB309A362}">
      <formula1>$S$5</formula1>
    </dataValidation>
    <dataValidation type="list" allowBlank="1" showInputMessage="1" showErrorMessage="1" sqref="P6:P13" xr:uid="{36350C71-AC0A-40AC-B788-01EE091231E7}">
      <formula1>$T$2:$T$3</formula1>
    </dataValidation>
  </dataValidations>
  <printOptions horizontalCentered="1" verticalCentered="1"/>
  <pageMargins left="0.27559055118110237" right="0.27559055118110237" top="0.39370078740157483" bottom="0.39370078740157483" header="0.19685039370078741" footer="0.19685039370078741"/>
  <pageSetup paperSize="9" scale="60" orientation="landscape" r:id="rId1"/>
  <headerFooter alignWithMargins="0">
    <oddHeader>&amp;L&amp;"ETML L,Normal"ETML&amp;R&amp;G</oddHeader>
    <oddFooter>&amp;L&amp;8&amp;D&amp;C&amp;8&amp;F  -  &amp;A&amp;R&amp;8Page &amp;P/&amp;N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060F5-81F0-481F-B01D-2B0D87002B47}">
  <sheetPr>
    <pageSetUpPr fitToPage="1"/>
  </sheetPr>
  <dimension ref="A1:U33"/>
  <sheetViews>
    <sheetView showGridLines="0" zoomScale="70" zoomScaleNormal="70" workbookViewId="0">
      <selection activeCell="D13" sqref="D13"/>
    </sheetView>
  </sheetViews>
  <sheetFormatPr baseColWidth="10" defaultColWidth="12.85546875" defaultRowHeight="12.75" customHeight="1" zeroHeight="1" x14ac:dyDescent="0.2"/>
  <cols>
    <col min="1" max="1" width="7.85546875" style="97" customWidth="1"/>
    <col min="2" max="2" width="11" style="97" customWidth="1"/>
    <col min="3" max="3" width="49.5703125" style="97" customWidth="1"/>
    <col min="4" max="4" width="7.7109375" style="97" customWidth="1"/>
    <col min="5" max="5" width="15.7109375" style="97" customWidth="1"/>
    <col min="6" max="7" width="7.7109375" style="97" customWidth="1"/>
    <col min="8" max="8" width="15.7109375" style="97" customWidth="1"/>
    <col min="9" max="10" width="7.7109375" style="97" customWidth="1"/>
    <col min="11" max="11" width="15.7109375" style="97" customWidth="1"/>
    <col min="12" max="13" width="7.7109375" style="97" customWidth="1"/>
    <col min="14" max="14" width="15.7109375" style="97" customWidth="1"/>
    <col min="15" max="16" width="7.7109375" style="97" customWidth="1"/>
    <col min="17" max="17" width="11.140625" style="97" bestFit="1" customWidth="1"/>
    <col min="18" max="18" width="12.85546875" style="97"/>
    <col min="19" max="19" width="25.42578125" style="97" hidden="1" customWidth="1"/>
    <col min="20" max="20" width="12.85546875" style="97" hidden="1" customWidth="1"/>
    <col min="21" max="21" width="10.5703125" style="97" bestFit="1" customWidth="1"/>
    <col min="22" max="16384" width="12.85546875" style="97"/>
  </cols>
  <sheetData>
    <row r="1" spans="1:21" s="2" customFormat="1" ht="30" customHeight="1" thickBot="1" x14ac:dyDescent="0.55000000000000004">
      <c r="A1" s="1" t="s">
        <v>3</v>
      </c>
      <c r="Q1" s="3"/>
      <c r="S1" s="4" t="s">
        <v>4</v>
      </c>
      <c r="T1" s="4" t="s">
        <v>5</v>
      </c>
    </row>
    <row r="2" spans="1:21" s="6" customFormat="1" ht="19.899999999999999" customHeight="1" thickTop="1" x14ac:dyDescent="0.25">
      <c r="A2" s="5" t="s">
        <v>6</v>
      </c>
      <c r="D2" s="7" t="s">
        <v>7</v>
      </c>
      <c r="E2" s="8" t="s">
        <v>55</v>
      </c>
      <c r="F2" s="9"/>
      <c r="G2" s="9"/>
      <c r="H2" s="10"/>
      <c r="I2" s="7" t="s">
        <v>9</v>
      </c>
      <c r="J2" s="8" t="s">
        <v>10</v>
      </c>
      <c r="K2" s="9"/>
      <c r="L2" s="9"/>
      <c r="M2" s="9"/>
      <c r="N2" s="10"/>
      <c r="O2" s="10"/>
      <c r="P2" s="10"/>
      <c r="Q2" s="10"/>
      <c r="S2" s="11" t="s">
        <v>11</v>
      </c>
      <c r="T2" s="11" t="b">
        <v>1</v>
      </c>
    </row>
    <row r="3" spans="1:21" s="6" customFormat="1" ht="19.899999999999999" customHeight="1" x14ac:dyDescent="0.25">
      <c r="A3" s="12"/>
      <c r="B3" s="13"/>
      <c r="D3" s="14" t="s">
        <v>12</v>
      </c>
      <c r="E3" s="15" t="s">
        <v>13</v>
      </c>
      <c r="F3" s="16"/>
      <c r="G3" s="16"/>
      <c r="H3" s="10"/>
      <c r="I3" s="14" t="s">
        <v>14</v>
      </c>
      <c r="J3" s="15">
        <v>10</v>
      </c>
      <c r="K3" s="17"/>
      <c r="L3" s="16"/>
      <c r="M3" s="16"/>
      <c r="N3" s="10"/>
      <c r="O3" s="10"/>
      <c r="P3" s="10"/>
      <c r="Q3" s="10"/>
      <c r="S3" s="18" t="s">
        <v>15</v>
      </c>
      <c r="T3" s="18" t="b">
        <v>0</v>
      </c>
    </row>
    <row r="4" spans="1:21" s="19" customFormat="1" ht="19.899999999999999" customHeight="1" thickBot="1" x14ac:dyDescent="0.3">
      <c r="A4" s="12"/>
      <c r="B4" s="13"/>
      <c r="D4" s="7" t="s">
        <v>16</v>
      </c>
      <c r="E4" s="20" t="s">
        <v>17</v>
      </c>
      <c r="F4" s="21"/>
      <c r="G4" s="21"/>
      <c r="H4" s="22"/>
      <c r="I4" s="14" t="s">
        <v>18</v>
      </c>
      <c r="J4" s="23" t="s">
        <v>19</v>
      </c>
      <c r="K4" s="24"/>
      <c r="L4" s="21"/>
      <c r="M4" s="21"/>
      <c r="N4" s="25"/>
      <c r="O4" s="25"/>
      <c r="P4" s="25"/>
      <c r="Q4" s="25"/>
      <c r="S4" s="26" t="s">
        <v>20</v>
      </c>
      <c r="T4" s="27"/>
      <c r="U4" s="27"/>
    </row>
    <row r="5" spans="1:21" s="6" customFormat="1" ht="25.15" customHeight="1" thickTop="1" thickBot="1" x14ac:dyDescent="0.3">
      <c r="C5" s="28"/>
      <c r="D5" s="29" t="s">
        <v>21</v>
      </c>
      <c r="E5" s="30"/>
      <c r="F5" s="30"/>
      <c r="G5" s="31" t="s">
        <v>22</v>
      </c>
      <c r="H5" s="32"/>
      <c r="I5" s="32"/>
      <c r="J5" s="33" t="s">
        <v>23</v>
      </c>
      <c r="K5" s="34"/>
      <c r="L5" s="34"/>
      <c r="M5" s="35" t="s">
        <v>24</v>
      </c>
      <c r="N5" s="36"/>
      <c r="O5" s="36"/>
      <c r="P5" s="37" t="s">
        <v>5</v>
      </c>
      <c r="Q5" s="38" t="s">
        <v>25</v>
      </c>
      <c r="S5" s="18" t="s">
        <v>26</v>
      </c>
      <c r="T5" s="27"/>
      <c r="U5" s="27"/>
    </row>
    <row r="6" spans="1:21" s="56" customFormat="1" ht="75" customHeight="1" thickTop="1" x14ac:dyDescent="0.25">
      <c r="A6" s="39" t="s">
        <v>27</v>
      </c>
      <c r="B6" s="40" t="s">
        <v>28</v>
      </c>
      <c r="C6" s="41" t="s">
        <v>29</v>
      </c>
      <c r="D6" s="42" t="s">
        <v>30</v>
      </c>
      <c r="E6" s="43" t="s">
        <v>31</v>
      </c>
      <c r="F6" s="44"/>
      <c r="G6" s="45" t="s">
        <v>30</v>
      </c>
      <c r="H6" s="46" t="s">
        <v>32</v>
      </c>
      <c r="I6" s="47"/>
      <c r="J6" s="48" t="s">
        <v>30</v>
      </c>
      <c r="K6" s="49" t="s">
        <v>33</v>
      </c>
      <c r="L6" s="50"/>
      <c r="M6" s="51" t="s">
        <v>30</v>
      </c>
      <c r="N6" s="52" t="s">
        <v>34</v>
      </c>
      <c r="O6" s="53"/>
      <c r="P6" s="54" t="b">
        <v>0</v>
      </c>
      <c r="Q6" s="55" t="str" cm="1">
        <f t="array" ref="Q6">IF(P6=cst_ignore_VRAI,cst_ignore,IF(COUNTA(F6,I6,L6,O6)&gt;1,cst_ERR,CONCATENATE(F6,I6,L6,O6)))</f>
        <v/>
      </c>
      <c r="S6" s="26" t="s">
        <v>35</v>
      </c>
      <c r="T6" s="27"/>
      <c r="U6" s="27"/>
    </row>
    <row r="7" spans="1:21" s="56" customFormat="1" ht="75" customHeight="1" x14ac:dyDescent="0.2">
      <c r="A7" s="57"/>
      <c r="B7" s="58"/>
      <c r="C7" s="59" t="s">
        <v>36</v>
      </c>
      <c r="D7" s="42" t="s">
        <v>30</v>
      </c>
      <c r="E7" s="43" t="s">
        <v>31</v>
      </c>
      <c r="F7" s="44"/>
      <c r="G7" s="45" t="s">
        <v>30</v>
      </c>
      <c r="H7" s="46" t="s">
        <v>32</v>
      </c>
      <c r="I7" s="47"/>
      <c r="J7" s="48" t="s">
        <v>30</v>
      </c>
      <c r="K7" s="49" t="s">
        <v>33</v>
      </c>
      <c r="L7" s="50"/>
      <c r="M7" s="51" t="s">
        <v>30</v>
      </c>
      <c r="N7" s="52" t="s">
        <v>34</v>
      </c>
      <c r="O7" s="53"/>
      <c r="P7" s="54" t="b">
        <v>0</v>
      </c>
      <c r="Q7" s="55" t="str" cm="1">
        <f t="array" ref="Q7">IF(P7=cst_ignore_VRAI,cst_ignore,IF(COUNTA(F7,I7,L7,O7)&gt;1,cst_ERR,CONCATENATE(F7,I7,L7,O7)))</f>
        <v/>
      </c>
    </row>
    <row r="8" spans="1:21" s="56" customFormat="1" ht="75" customHeight="1" x14ac:dyDescent="0.2">
      <c r="A8" s="57"/>
      <c r="B8" s="58"/>
      <c r="C8" s="59" t="s">
        <v>37</v>
      </c>
      <c r="D8" s="42" t="s">
        <v>30</v>
      </c>
      <c r="E8" s="43" t="s">
        <v>31</v>
      </c>
      <c r="F8" s="44"/>
      <c r="G8" s="45" t="s">
        <v>30</v>
      </c>
      <c r="H8" s="46" t="s">
        <v>32</v>
      </c>
      <c r="I8" s="47"/>
      <c r="J8" s="48" t="s">
        <v>30</v>
      </c>
      <c r="K8" s="49" t="s">
        <v>33</v>
      </c>
      <c r="L8" s="50"/>
      <c r="M8" s="51" t="s">
        <v>30</v>
      </c>
      <c r="N8" s="52" t="s">
        <v>34</v>
      </c>
      <c r="O8" s="53"/>
      <c r="P8" s="54" t="b">
        <v>0</v>
      </c>
      <c r="Q8" s="55" t="str" cm="1">
        <f t="array" ref="Q8">IF(P8=cst_ignore_VRAI,cst_ignore,IF(COUNTA(F8,I8,L8,O8)&gt;1,cst_ERR,CONCATENATE(F8,I8,L8,O8)))</f>
        <v/>
      </c>
    </row>
    <row r="9" spans="1:21" s="56" customFormat="1" ht="75" customHeight="1" x14ac:dyDescent="0.2">
      <c r="A9" s="57"/>
      <c r="B9" s="60"/>
      <c r="C9" s="59" t="s">
        <v>38</v>
      </c>
      <c r="D9" s="42" t="s">
        <v>30</v>
      </c>
      <c r="E9" s="43" t="s">
        <v>31</v>
      </c>
      <c r="F9" s="44"/>
      <c r="G9" s="45" t="s">
        <v>30</v>
      </c>
      <c r="H9" s="46" t="s">
        <v>32</v>
      </c>
      <c r="I9" s="47"/>
      <c r="J9" s="48" t="s">
        <v>30</v>
      </c>
      <c r="K9" s="49" t="s">
        <v>33</v>
      </c>
      <c r="L9" s="50"/>
      <c r="M9" s="51" t="s">
        <v>30</v>
      </c>
      <c r="N9" s="52" t="s">
        <v>34</v>
      </c>
      <c r="O9" s="53"/>
      <c r="P9" s="54" t="b">
        <v>0</v>
      </c>
      <c r="Q9" s="55" t="str" cm="1">
        <f t="array" ref="Q9">IF(P9=cst_ignore_VRAI,cst_ignore,IF(COUNTA(F9,I9,L9,O9)&gt;1,cst_ERR,CONCATENATE(F9,I9,L9,O9)))</f>
        <v/>
      </c>
    </row>
    <row r="10" spans="1:21" s="56" customFormat="1" ht="75" customHeight="1" x14ac:dyDescent="0.2">
      <c r="A10" s="57"/>
      <c r="B10" s="61" t="s">
        <v>39</v>
      </c>
      <c r="C10" s="59" t="s">
        <v>40</v>
      </c>
      <c r="D10" s="42" t="s">
        <v>30</v>
      </c>
      <c r="E10" s="43" t="s">
        <v>31</v>
      </c>
      <c r="F10" s="44"/>
      <c r="G10" s="45" t="s">
        <v>30</v>
      </c>
      <c r="H10" s="46" t="s">
        <v>32</v>
      </c>
      <c r="I10" s="47"/>
      <c r="J10" s="48" t="s">
        <v>30</v>
      </c>
      <c r="K10" s="49" t="s">
        <v>33</v>
      </c>
      <c r="L10" s="50"/>
      <c r="M10" s="51" t="s">
        <v>30</v>
      </c>
      <c r="N10" s="52" t="s">
        <v>34</v>
      </c>
      <c r="O10" s="53"/>
      <c r="P10" s="54" t="b">
        <v>0</v>
      </c>
      <c r="Q10" s="55" t="str" cm="1">
        <f t="array" ref="Q10">IF(P10=cst_ignore_VRAI,cst_ignore,IF(COUNTA(F10,I10,L10,O10)&gt;1,cst_ERR,CONCATENATE(F10,I10,L10,O10)))</f>
        <v/>
      </c>
    </row>
    <row r="11" spans="1:21" s="56" customFormat="1" ht="75" customHeight="1" x14ac:dyDescent="0.2">
      <c r="A11" s="57"/>
      <c r="B11" s="62"/>
      <c r="C11" s="59" t="s">
        <v>41</v>
      </c>
      <c r="D11" s="42" t="s">
        <v>30</v>
      </c>
      <c r="E11" s="43" t="s">
        <v>31</v>
      </c>
      <c r="F11" s="44"/>
      <c r="G11" s="45" t="s">
        <v>30</v>
      </c>
      <c r="H11" s="46" t="s">
        <v>32</v>
      </c>
      <c r="I11" s="47"/>
      <c r="J11" s="48" t="s">
        <v>30</v>
      </c>
      <c r="K11" s="49" t="s">
        <v>33</v>
      </c>
      <c r="L11" s="50"/>
      <c r="M11" s="51" t="s">
        <v>30</v>
      </c>
      <c r="N11" s="52" t="s">
        <v>34</v>
      </c>
      <c r="O11" s="53"/>
      <c r="P11" s="54" t="b">
        <v>0</v>
      </c>
      <c r="Q11" s="55" t="str" cm="1">
        <f t="array" ref="Q11">IF(P11=cst_ignore_VRAI,cst_ignore,IF(COUNTA(F11,I11,L11,O11)&gt;1,cst_ERR,CONCATENATE(F11,I11,L11,O11)))</f>
        <v/>
      </c>
      <c r="R11" s="63"/>
    </row>
    <row r="12" spans="1:21" s="56" customFormat="1" ht="75" customHeight="1" x14ac:dyDescent="0.2">
      <c r="A12" s="57"/>
      <c r="B12" s="64"/>
      <c r="C12" s="59" t="s">
        <v>42</v>
      </c>
      <c r="D12" s="42" t="s">
        <v>30</v>
      </c>
      <c r="E12" s="43" t="s">
        <v>31</v>
      </c>
      <c r="F12" s="44"/>
      <c r="G12" s="45" t="s">
        <v>30</v>
      </c>
      <c r="H12" s="46" t="s">
        <v>32</v>
      </c>
      <c r="I12" s="47"/>
      <c r="J12" s="48" t="s">
        <v>30</v>
      </c>
      <c r="K12" s="49" t="s">
        <v>33</v>
      </c>
      <c r="L12" s="50"/>
      <c r="M12" s="51" t="s">
        <v>30</v>
      </c>
      <c r="N12" s="52" t="s">
        <v>34</v>
      </c>
      <c r="O12" s="53"/>
      <c r="P12" s="54" t="b">
        <v>0</v>
      </c>
      <c r="Q12" s="55" t="str" cm="1">
        <f t="array" ref="Q12">IF(P12=cst_ignore_VRAI,cst_ignore,IF(COUNTA(F12,I12,L12,O12)&gt;1,cst_ERR,CONCATENATE(F12,I12,L12,O12)))</f>
        <v/>
      </c>
    </row>
    <row r="13" spans="1:21" s="56" customFormat="1" ht="75" customHeight="1" thickBot="1" x14ac:dyDescent="0.25">
      <c r="A13" s="65"/>
      <c r="B13" s="66" t="s">
        <v>43</v>
      </c>
      <c r="C13" s="67" t="s">
        <v>44</v>
      </c>
      <c r="D13" s="68" t="s">
        <v>30</v>
      </c>
      <c r="E13" s="69" t="s">
        <v>31</v>
      </c>
      <c r="F13" s="70"/>
      <c r="G13" s="71" t="s">
        <v>30</v>
      </c>
      <c r="H13" s="72" t="s">
        <v>32</v>
      </c>
      <c r="I13" s="73"/>
      <c r="J13" s="74" t="s">
        <v>30</v>
      </c>
      <c r="K13" s="75" t="s">
        <v>33</v>
      </c>
      <c r="L13" s="76"/>
      <c r="M13" s="77" t="s">
        <v>30</v>
      </c>
      <c r="N13" s="78" t="s">
        <v>34</v>
      </c>
      <c r="O13" s="79"/>
      <c r="P13" s="80" t="b">
        <v>1</v>
      </c>
      <c r="Q13" s="81" t="str" cm="1">
        <f t="array" ref="Q13">IF(P13=cst_ignore_VRAI,cst_ignore,IF(COUNTA(F13,I13,L13,O13)&gt;1,cst_ERR,CONCATENATE(F13,I13,L13,O13)))</f>
        <v>Ignoré</v>
      </c>
    </row>
    <row r="14" spans="1:21" s="6" customFormat="1" ht="25.15" customHeight="1" thickTop="1" x14ac:dyDescent="0.25">
      <c r="A14" s="82" t="s">
        <v>45</v>
      </c>
      <c r="L14" s="19"/>
      <c r="M14" s="19"/>
      <c r="N14" s="83"/>
      <c r="O14" s="84" t="s">
        <v>46</v>
      </c>
      <c r="P14" s="85"/>
      <c r="Q14" s="86"/>
    </row>
    <row r="15" spans="1:21" s="6" customFormat="1" ht="30" customHeight="1" x14ac:dyDescent="0.25">
      <c r="A15" s="87" t="s">
        <v>47</v>
      </c>
      <c r="B15" s="88"/>
      <c r="C15" s="88"/>
      <c r="D15" s="88"/>
      <c r="E15" s="88"/>
      <c r="F15" s="88"/>
      <c r="G15" s="88"/>
      <c r="H15" s="88"/>
      <c r="J15" s="89" t="s">
        <v>48</v>
      </c>
      <c r="K15" s="89"/>
      <c r="L15" s="90"/>
      <c r="M15" s="90"/>
      <c r="N15" s="90"/>
      <c r="O15" s="84"/>
      <c r="P15" s="85"/>
    </row>
    <row r="16" spans="1:21" s="6" customFormat="1" ht="30" customHeight="1" x14ac:dyDescent="0.25">
      <c r="A16" s="87" t="s">
        <v>49</v>
      </c>
      <c r="B16" s="88"/>
      <c r="C16" s="88"/>
      <c r="D16" s="88"/>
      <c r="E16" s="88"/>
      <c r="F16" s="88"/>
      <c r="G16" s="88"/>
      <c r="H16" s="88"/>
      <c r="J16" s="91" t="s">
        <v>50</v>
      </c>
      <c r="K16" s="91"/>
      <c r="L16" s="92"/>
      <c r="M16" s="92"/>
      <c r="N16" s="92"/>
      <c r="O16" s="93"/>
      <c r="P16" s="93"/>
      <c r="Q16" s="94"/>
    </row>
    <row r="17" spans="1:17" s="6" customFormat="1" ht="30" customHeight="1" thickBot="1" x14ac:dyDescent="0.3">
      <c r="A17" s="87"/>
      <c r="B17" s="88"/>
      <c r="C17" s="88"/>
      <c r="D17" s="88"/>
      <c r="E17" s="88"/>
      <c r="F17" s="88"/>
      <c r="G17" s="88"/>
      <c r="H17" s="88"/>
      <c r="K17" s="7" t="s">
        <v>51</v>
      </c>
      <c r="L17" s="92"/>
      <c r="M17" s="92"/>
      <c r="N17" s="92"/>
      <c r="Q17" s="95"/>
    </row>
    <row r="18" spans="1:17" s="6" customFormat="1" ht="30" customHeight="1" thickBot="1" x14ac:dyDescent="0.3">
      <c r="A18" s="87"/>
      <c r="B18" s="88"/>
      <c r="C18" s="88"/>
      <c r="D18" s="88"/>
      <c r="E18" s="88"/>
      <c r="F18" s="88"/>
      <c r="G18" s="88"/>
      <c r="H18" s="88"/>
      <c r="N18" s="6" t="s">
        <v>52</v>
      </c>
      <c r="Q18" s="96" t="str">
        <f>IF(COUNTIF(Q6:Q13,cst_ERR)&gt;0,cst_ERR,IF(COUNTIF(Q6:Q13,cst_NA)&gt;0,cst_NA,IF(COUNTIF(Q6:Q13,cst_PA)&gt;0,cst_PA,IF(COUNTIF(Q6:Q13,cst_A)&gt;=COUNTIF(Q6:Q13,cst_LA),IF(COUNTIF(Q6:Q13,cst_A)=0,"",cst_A),cst_LA))))</f>
        <v/>
      </c>
    </row>
    <row r="19" spans="1:17" ht="20.25" hidden="1" x14ac:dyDescent="0.3">
      <c r="K19" s="98"/>
      <c r="L19" s="98"/>
      <c r="M19" s="98"/>
    </row>
    <row r="20" spans="1:17" x14ac:dyDescent="0.2"/>
    <row r="22" spans="1:17" ht="15" hidden="1" x14ac:dyDescent="0.25">
      <c r="A22" s="99" t="s">
        <v>53</v>
      </c>
    </row>
    <row r="23" spans="1:17" hidden="1" x14ac:dyDescent="0.2">
      <c r="A23" s="100">
        <v>1</v>
      </c>
    </row>
    <row r="24" spans="1:17" hidden="1" x14ac:dyDescent="0.2">
      <c r="A24" s="100">
        <v>1.5</v>
      </c>
    </row>
    <row r="25" spans="1:17" hidden="1" x14ac:dyDescent="0.2">
      <c r="A25" s="100">
        <v>2</v>
      </c>
    </row>
    <row r="26" spans="1:17" hidden="1" x14ac:dyDescent="0.2">
      <c r="A26" s="101">
        <v>2.5</v>
      </c>
    </row>
    <row r="27" spans="1:17" hidden="1" x14ac:dyDescent="0.2">
      <c r="A27" s="101">
        <v>3</v>
      </c>
    </row>
    <row r="28" spans="1:17" hidden="1" x14ac:dyDescent="0.2">
      <c r="A28" s="101">
        <v>3.5</v>
      </c>
    </row>
    <row r="29" spans="1:17" hidden="1" x14ac:dyDescent="0.2">
      <c r="A29" s="102">
        <v>4</v>
      </c>
    </row>
    <row r="30" spans="1:17" hidden="1" x14ac:dyDescent="0.2">
      <c r="A30" s="102">
        <v>4.5</v>
      </c>
    </row>
    <row r="31" spans="1:17" hidden="1" x14ac:dyDescent="0.2">
      <c r="A31" s="102">
        <v>5</v>
      </c>
    </row>
    <row r="32" spans="1:17" hidden="1" x14ac:dyDescent="0.2">
      <c r="A32" s="103">
        <v>5.5</v>
      </c>
    </row>
    <row r="33" spans="1:1" hidden="1" x14ac:dyDescent="0.2">
      <c r="A33" s="103">
        <v>6</v>
      </c>
    </row>
  </sheetData>
  <sheetProtection sheet="1" objects="1" scenarios="1" selectLockedCells="1"/>
  <protectedRanges>
    <protectedRange sqref="D6:Q13 L15:L17 A15:H18" name="Cellules modifiables_8"/>
  </protectedRanges>
  <mergeCells count="18">
    <mergeCell ref="A17:H17"/>
    <mergeCell ref="L17:N17"/>
    <mergeCell ref="A18:H18"/>
    <mergeCell ref="K19:M19"/>
    <mergeCell ref="O14:O15"/>
    <mergeCell ref="A15:H15"/>
    <mergeCell ref="J15:K15"/>
    <mergeCell ref="L15:N15"/>
    <mergeCell ref="A16:H16"/>
    <mergeCell ref="J16:K16"/>
    <mergeCell ref="L16:N16"/>
    <mergeCell ref="D5:F5"/>
    <mergeCell ref="G5:I5"/>
    <mergeCell ref="J5:L5"/>
    <mergeCell ref="M5:O5"/>
    <mergeCell ref="A6:A13"/>
    <mergeCell ref="B6:B9"/>
    <mergeCell ref="B10:B12"/>
  </mergeCells>
  <conditionalFormatting sqref="Q18">
    <cfRule type="cellIs" dxfId="35" priority="1" operator="equal">
      <formula>cst_LA</formula>
    </cfRule>
    <cfRule type="cellIs" dxfId="34" priority="2" operator="equal">
      <formula>cst_A</formula>
    </cfRule>
    <cfRule type="cellIs" dxfId="33" priority="3" operator="equal">
      <formula>cst_PA</formula>
    </cfRule>
    <cfRule type="cellIs" dxfId="32" priority="10" operator="equal">
      <formula>cst_NA</formula>
    </cfRule>
    <cfRule type="cellIs" dxfId="31" priority="11" operator="equal">
      <formula>cst_ERR</formula>
    </cfRule>
  </conditionalFormatting>
  <conditionalFormatting sqref="C6:Q13">
    <cfRule type="expression" dxfId="30" priority="4" stopIfTrue="1">
      <formula>IF($Q6=cst_ignore,"VRAI","FAUX")</formula>
    </cfRule>
  </conditionalFormatting>
  <conditionalFormatting sqref="Q6:Q13">
    <cfRule type="expression" dxfId="29" priority="5">
      <formula>IF($Q6=cst_LA,"VRAI","FAUX")</formula>
    </cfRule>
    <cfRule type="expression" dxfId="28" priority="9">
      <formula>IF($Q6=cst_ERR,"VRAI","FAUX")</formula>
    </cfRule>
  </conditionalFormatting>
  <conditionalFormatting sqref="Q6:Q13">
    <cfRule type="expression" dxfId="27" priority="6">
      <formula>IF($Q6=cst_A,"VRAI","FAUX")</formula>
    </cfRule>
    <cfRule type="expression" dxfId="26" priority="7">
      <formula>IF($Q6=cst_PA,"VRAI","FAUX")</formula>
    </cfRule>
    <cfRule type="expression" dxfId="25" priority="8">
      <formula>IF($Q6=cst_NA,"VRAI","FAUX")</formula>
    </cfRule>
  </conditionalFormatting>
  <conditionalFormatting sqref="C13:Q13">
    <cfRule type="expression" dxfId="24" priority="12" stopIfTrue="1">
      <formula>IF($Q13=$T$1,"VRAI","FAUX")</formula>
    </cfRule>
  </conditionalFormatting>
  <dataValidations count="5">
    <dataValidation type="list" allowBlank="1" showInputMessage="1" showErrorMessage="1" sqref="F6:F13" xr:uid="{5031DE14-4AAB-4E9B-B5EE-9340914EF788}">
      <formula1>$S$2</formula1>
    </dataValidation>
    <dataValidation type="list" allowBlank="1" showInputMessage="1" showErrorMessage="1" sqref="I6:I13" xr:uid="{DA6F19CB-5FCF-48D7-B503-C99F2E94E1C5}">
      <formula1>$S$3</formula1>
    </dataValidation>
    <dataValidation type="list" allowBlank="1" showInputMessage="1" showErrorMessage="1" sqref="L6:L13" xr:uid="{172DD925-C347-4660-A383-73EBD1059587}">
      <formula1>$S$4</formula1>
    </dataValidation>
    <dataValidation type="list" allowBlank="1" showInputMessage="1" showErrorMessage="1" sqref="O6:O13" xr:uid="{1D254066-C824-40C3-A1DF-6F6A61767E9E}">
      <formula1>$S$5</formula1>
    </dataValidation>
    <dataValidation type="list" allowBlank="1" showInputMessage="1" showErrorMessage="1" sqref="P6:P13" xr:uid="{A1DDFDF1-BB07-48BB-AB05-A0D6FE661CB8}">
      <formula1>$T$2:$T$3</formula1>
    </dataValidation>
  </dataValidations>
  <printOptions horizontalCentered="1" verticalCentered="1"/>
  <pageMargins left="0.27559055118110237" right="0.27559055118110237" top="0.39370078740157483" bottom="0.39370078740157483" header="0.19685039370078741" footer="0.19685039370078741"/>
  <pageSetup paperSize="9" scale="60" orientation="landscape" r:id="rId1"/>
  <headerFooter alignWithMargins="0">
    <oddHeader>&amp;L&amp;"ETML L,Normal"ETML&amp;R&amp;G</oddHeader>
    <oddFooter>&amp;L&amp;8&amp;D&amp;C&amp;8&amp;F  -  &amp;A&amp;R&amp;8Page &amp;P/&amp;N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77D63-8F15-4C56-BB81-BE355ADE9C06}">
  <sheetPr>
    <pageSetUpPr fitToPage="1"/>
  </sheetPr>
  <dimension ref="A1:U33"/>
  <sheetViews>
    <sheetView showGridLines="0" zoomScale="70" zoomScaleNormal="70" workbookViewId="0">
      <selection activeCell="D13" sqref="D13"/>
    </sheetView>
  </sheetViews>
  <sheetFormatPr baseColWidth="10" defaultColWidth="12.85546875" defaultRowHeight="12.75" customHeight="1" zeroHeight="1" x14ac:dyDescent="0.2"/>
  <cols>
    <col min="1" max="1" width="7.85546875" style="97" customWidth="1"/>
    <col min="2" max="2" width="11" style="97" customWidth="1"/>
    <col min="3" max="3" width="49.5703125" style="97" customWidth="1"/>
    <col min="4" max="4" width="7.7109375" style="97" customWidth="1"/>
    <col min="5" max="5" width="15.7109375" style="97" customWidth="1"/>
    <col min="6" max="7" width="7.7109375" style="97" customWidth="1"/>
    <col min="8" max="8" width="15.7109375" style="97" customWidth="1"/>
    <col min="9" max="10" width="7.7109375" style="97" customWidth="1"/>
    <col min="11" max="11" width="15.7109375" style="97" customWidth="1"/>
    <col min="12" max="13" width="7.7109375" style="97" customWidth="1"/>
    <col min="14" max="14" width="15.7109375" style="97" customWidth="1"/>
    <col min="15" max="16" width="7.7109375" style="97" customWidth="1"/>
    <col min="17" max="17" width="11.140625" style="97" bestFit="1" customWidth="1"/>
    <col min="18" max="18" width="12.85546875" style="97"/>
    <col min="19" max="19" width="25.42578125" style="97" hidden="1" customWidth="1"/>
    <col min="20" max="20" width="12.85546875" style="97" hidden="1" customWidth="1"/>
    <col min="21" max="21" width="10.5703125" style="97" bestFit="1" customWidth="1"/>
    <col min="22" max="16384" width="12.85546875" style="97"/>
  </cols>
  <sheetData>
    <row r="1" spans="1:21" s="2" customFormat="1" ht="30" customHeight="1" thickBot="1" x14ac:dyDescent="0.55000000000000004">
      <c r="A1" s="1" t="s">
        <v>3</v>
      </c>
      <c r="Q1" s="3"/>
      <c r="S1" s="4" t="s">
        <v>4</v>
      </c>
      <c r="T1" s="4" t="s">
        <v>5</v>
      </c>
    </row>
    <row r="2" spans="1:21" s="6" customFormat="1" ht="19.899999999999999" customHeight="1" thickTop="1" x14ac:dyDescent="0.25">
      <c r="A2" s="5" t="s">
        <v>6</v>
      </c>
      <c r="D2" s="7" t="s">
        <v>7</v>
      </c>
      <c r="E2" s="8" t="s">
        <v>54</v>
      </c>
      <c r="F2" s="9"/>
      <c r="G2" s="9"/>
      <c r="H2" s="10"/>
      <c r="I2" s="7" t="s">
        <v>9</v>
      </c>
      <c r="J2" s="8" t="s">
        <v>10</v>
      </c>
      <c r="K2" s="9"/>
      <c r="L2" s="9"/>
      <c r="M2" s="9"/>
      <c r="N2" s="10"/>
      <c r="O2" s="10"/>
      <c r="P2" s="10"/>
      <c r="Q2" s="10"/>
      <c r="S2" s="11" t="s">
        <v>11</v>
      </c>
      <c r="T2" s="11" t="b">
        <v>1</v>
      </c>
    </row>
    <row r="3" spans="1:21" s="6" customFormat="1" ht="19.899999999999999" customHeight="1" x14ac:dyDescent="0.25">
      <c r="A3" s="12"/>
      <c r="B3" s="13"/>
      <c r="D3" s="14" t="s">
        <v>12</v>
      </c>
      <c r="E3" s="15" t="s">
        <v>13</v>
      </c>
      <c r="F3" s="16"/>
      <c r="G3" s="16"/>
      <c r="H3" s="10"/>
      <c r="I3" s="14" t="s">
        <v>14</v>
      </c>
      <c r="J3" s="15">
        <v>10</v>
      </c>
      <c r="K3" s="17"/>
      <c r="L3" s="16"/>
      <c r="M3" s="16"/>
      <c r="N3" s="10"/>
      <c r="O3" s="10"/>
      <c r="P3" s="10"/>
      <c r="Q3" s="10"/>
      <c r="S3" s="18" t="s">
        <v>15</v>
      </c>
      <c r="T3" s="18" t="b">
        <v>0</v>
      </c>
    </row>
    <row r="4" spans="1:21" s="19" customFormat="1" ht="19.899999999999999" customHeight="1" thickBot="1" x14ac:dyDescent="0.3">
      <c r="A4" s="12"/>
      <c r="B4" s="13"/>
      <c r="D4" s="7" t="s">
        <v>16</v>
      </c>
      <c r="E4" s="20" t="s">
        <v>17</v>
      </c>
      <c r="F4" s="21"/>
      <c r="G4" s="21"/>
      <c r="H4" s="22"/>
      <c r="I4" s="14" t="s">
        <v>18</v>
      </c>
      <c r="J4" s="23" t="s">
        <v>19</v>
      </c>
      <c r="K4" s="24"/>
      <c r="L4" s="21"/>
      <c r="M4" s="21"/>
      <c r="N4" s="25"/>
      <c r="O4" s="25"/>
      <c r="P4" s="25"/>
      <c r="Q4" s="25"/>
      <c r="S4" s="26" t="s">
        <v>20</v>
      </c>
      <c r="T4" s="27"/>
      <c r="U4" s="27"/>
    </row>
    <row r="5" spans="1:21" s="6" customFormat="1" ht="25.15" customHeight="1" thickTop="1" thickBot="1" x14ac:dyDescent="0.3">
      <c r="C5" s="28"/>
      <c r="D5" s="29" t="s">
        <v>21</v>
      </c>
      <c r="E5" s="30"/>
      <c r="F5" s="30"/>
      <c r="G5" s="31" t="s">
        <v>22</v>
      </c>
      <c r="H5" s="32"/>
      <c r="I5" s="32"/>
      <c r="J5" s="33" t="s">
        <v>23</v>
      </c>
      <c r="K5" s="34"/>
      <c r="L5" s="34"/>
      <c r="M5" s="35" t="s">
        <v>24</v>
      </c>
      <c r="N5" s="36"/>
      <c r="O5" s="36"/>
      <c r="P5" s="37" t="s">
        <v>5</v>
      </c>
      <c r="Q5" s="38" t="s">
        <v>25</v>
      </c>
      <c r="S5" s="18" t="s">
        <v>26</v>
      </c>
      <c r="T5" s="27"/>
      <c r="U5" s="27"/>
    </row>
    <row r="6" spans="1:21" s="56" customFormat="1" ht="75" customHeight="1" thickTop="1" x14ac:dyDescent="0.25">
      <c r="A6" s="39" t="s">
        <v>27</v>
      </c>
      <c r="B6" s="40" t="s">
        <v>28</v>
      </c>
      <c r="C6" s="41" t="s">
        <v>29</v>
      </c>
      <c r="D6" s="42" t="s">
        <v>30</v>
      </c>
      <c r="E6" s="43" t="s">
        <v>31</v>
      </c>
      <c r="F6" s="44"/>
      <c r="G6" s="45" t="s">
        <v>30</v>
      </c>
      <c r="H6" s="46" t="s">
        <v>32</v>
      </c>
      <c r="I6" s="47"/>
      <c r="J6" s="48" t="s">
        <v>30</v>
      </c>
      <c r="K6" s="49" t="s">
        <v>33</v>
      </c>
      <c r="L6" s="50"/>
      <c r="M6" s="51" t="s">
        <v>30</v>
      </c>
      <c r="N6" s="52" t="s">
        <v>34</v>
      </c>
      <c r="O6" s="53"/>
      <c r="P6" s="54" t="b">
        <v>0</v>
      </c>
      <c r="Q6" s="55" t="str" cm="1">
        <f t="array" ref="Q6">IF(P6=cst_ignore_VRAI,cst_ignore,IF(COUNTA(F6,I6,L6,O6)&gt;1,cst_ERR,CONCATENATE(F6,I6,L6,O6)))</f>
        <v/>
      </c>
      <c r="S6" s="26" t="s">
        <v>35</v>
      </c>
      <c r="T6" s="27"/>
      <c r="U6" s="27"/>
    </row>
    <row r="7" spans="1:21" s="56" customFormat="1" ht="75" customHeight="1" x14ac:dyDescent="0.2">
      <c r="A7" s="57"/>
      <c r="B7" s="58"/>
      <c r="C7" s="59" t="s">
        <v>36</v>
      </c>
      <c r="D7" s="42" t="s">
        <v>30</v>
      </c>
      <c r="E7" s="43" t="s">
        <v>31</v>
      </c>
      <c r="F7" s="44"/>
      <c r="G7" s="45" t="s">
        <v>30</v>
      </c>
      <c r="H7" s="46" t="s">
        <v>32</v>
      </c>
      <c r="I7" s="47"/>
      <c r="J7" s="48" t="s">
        <v>30</v>
      </c>
      <c r="K7" s="49" t="s">
        <v>33</v>
      </c>
      <c r="L7" s="50"/>
      <c r="M7" s="51" t="s">
        <v>30</v>
      </c>
      <c r="N7" s="52" t="s">
        <v>34</v>
      </c>
      <c r="O7" s="53"/>
      <c r="P7" s="54" t="b">
        <v>0</v>
      </c>
      <c r="Q7" s="55" t="str" cm="1">
        <f t="array" ref="Q7">IF(P7=cst_ignore_VRAI,cst_ignore,IF(COUNTA(F7,I7,L7,O7)&gt;1,cst_ERR,CONCATENATE(F7,I7,L7,O7)))</f>
        <v/>
      </c>
    </row>
    <row r="8" spans="1:21" s="56" customFormat="1" ht="75" customHeight="1" x14ac:dyDescent="0.2">
      <c r="A8" s="57"/>
      <c r="B8" s="58"/>
      <c r="C8" s="59" t="s">
        <v>37</v>
      </c>
      <c r="D8" s="42" t="s">
        <v>30</v>
      </c>
      <c r="E8" s="43" t="s">
        <v>31</v>
      </c>
      <c r="F8" s="44"/>
      <c r="G8" s="45" t="s">
        <v>30</v>
      </c>
      <c r="H8" s="46" t="s">
        <v>32</v>
      </c>
      <c r="I8" s="47"/>
      <c r="J8" s="48" t="s">
        <v>30</v>
      </c>
      <c r="K8" s="49" t="s">
        <v>33</v>
      </c>
      <c r="L8" s="50"/>
      <c r="M8" s="51" t="s">
        <v>30</v>
      </c>
      <c r="N8" s="52" t="s">
        <v>34</v>
      </c>
      <c r="O8" s="53"/>
      <c r="P8" s="54" t="b">
        <v>0</v>
      </c>
      <c r="Q8" s="55" t="str" cm="1">
        <f t="array" ref="Q8">IF(P8=cst_ignore_VRAI,cst_ignore,IF(COUNTA(F8,I8,L8,O8)&gt;1,cst_ERR,CONCATENATE(F8,I8,L8,O8)))</f>
        <v/>
      </c>
    </row>
    <row r="9" spans="1:21" s="56" customFormat="1" ht="75" customHeight="1" x14ac:dyDescent="0.2">
      <c r="A9" s="57"/>
      <c r="B9" s="60"/>
      <c r="C9" s="59" t="s">
        <v>38</v>
      </c>
      <c r="D9" s="42" t="s">
        <v>30</v>
      </c>
      <c r="E9" s="43" t="s">
        <v>31</v>
      </c>
      <c r="F9" s="44"/>
      <c r="G9" s="45" t="s">
        <v>30</v>
      </c>
      <c r="H9" s="46" t="s">
        <v>32</v>
      </c>
      <c r="I9" s="47"/>
      <c r="J9" s="48" t="s">
        <v>30</v>
      </c>
      <c r="K9" s="49" t="s">
        <v>33</v>
      </c>
      <c r="L9" s="50"/>
      <c r="M9" s="51" t="s">
        <v>30</v>
      </c>
      <c r="N9" s="52" t="s">
        <v>34</v>
      </c>
      <c r="O9" s="53"/>
      <c r="P9" s="54" t="b">
        <v>0</v>
      </c>
      <c r="Q9" s="55" t="str" cm="1">
        <f t="array" ref="Q9">IF(P9=cst_ignore_VRAI,cst_ignore,IF(COUNTA(F9,I9,L9,O9)&gt;1,cst_ERR,CONCATENATE(F9,I9,L9,O9)))</f>
        <v/>
      </c>
    </row>
    <row r="10" spans="1:21" s="56" customFormat="1" ht="75" customHeight="1" x14ac:dyDescent="0.2">
      <c r="A10" s="57"/>
      <c r="B10" s="61" t="s">
        <v>39</v>
      </c>
      <c r="C10" s="59" t="s">
        <v>40</v>
      </c>
      <c r="D10" s="42" t="s">
        <v>30</v>
      </c>
      <c r="E10" s="43" t="s">
        <v>31</v>
      </c>
      <c r="F10" s="44"/>
      <c r="G10" s="45" t="s">
        <v>30</v>
      </c>
      <c r="H10" s="46" t="s">
        <v>32</v>
      </c>
      <c r="I10" s="47"/>
      <c r="J10" s="48" t="s">
        <v>30</v>
      </c>
      <c r="K10" s="49" t="s">
        <v>33</v>
      </c>
      <c r="L10" s="50"/>
      <c r="M10" s="51" t="s">
        <v>30</v>
      </c>
      <c r="N10" s="52" t="s">
        <v>34</v>
      </c>
      <c r="O10" s="53"/>
      <c r="P10" s="54" t="b">
        <v>0</v>
      </c>
      <c r="Q10" s="55" t="str" cm="1">
        <f t="array" ref="Q10">IF(P10=cst_ignore_VRAI,cst_ignore,IF(COUNTA(F10,I10,L10,O10)&gt;1,cst_ERR,CONCATENATE(F10,I10,L10,O10)))</f>
        <v/>
      </c>
    </row>
    <row r="11" spans="1:21" s="56" customFormat="1" ht="75" customHeight="1" x14ac:dyDescent="0.2">
      <c r="A11" s="57"/>
      <c r="B11" s="62"/>
      <c r="C11" s="59" t="s">
        <v>41</v>
      </c>
      <c r="D11" s="42" t="s">
        <v>30</v>
      </c>
      <c r="E11" s="43" t="s">
        <v>31</v>
      </c>
      <c r="F11" s="44"/>
      <c r="G11" s="45" t="s">
        <v>30</v>
      </c>
      <c r="H11" s="46" t="s">
        <v>32</v>
      </c>
      <c r="I11" s="47"/>
      <c r="J11" s="48" t="s">
        <v>30</v>
      </c>
      <c r="K11" s="49" t="s">
        <v>33</v>
      </c>
      <c r="L11" s="50"/>
      <c r="M11" s="51" t="s">
        <v>30</v>
      </c>
      <c r="N11" s="52" t="s">
        <v>34</v>
      </c>
      <c r="O11" s="53"/>
      <c r="P11" s="54" t="b">
        <v>0</v>
      </c>
      <c r="Q11" s="55" t="str" cm="1">
        <f t="array" ref="Q11">IF(P11=cst_ignore_VRAI,cst_ignore,IF(COUNTA(F11,I11,L11,O11)&gt;1,cst_ERR,CONCATENATE(F11,I11,L11,O11)))</f>
        <v/>
      </c>
      <c r="R11" s="63"/>
    </row>
    <row r="12" spans="1:21" s="56" customFormat="1" ht="75" customHeight="1" x14ac:dyDescent="0.2">
      <c r="A12" s="57"/>
      <c r="B12" s="64"/>
      <c r="C12" s="59" t="s">
        <v>42</v>
      </c>
      <c r="D12" s="42" t="s">
        <v>30</v>
      </c>
      <c r="E12" s="43" t="s">
        <v>31</v>
      </c>
      <c r="F12" s="44"/>
      <c r="G12" s="45" t="s">
        <v>30</v>
      </c>
      <c r="H12" s="46" t="s">
        <v>32</v>
      </c>
      <c r="I12" s="47"/>
      <c r="J12" s="48" t="s">
        <v>30</v>
      </c>
      <c r="K12" s="49" t="s">
        <v>33</v>
      </c>
      <c r="L12" s="50"/>
      <c r="M12" s="51" t="s">
        <v>30</v>
      </c>
      <c r="N12" s="52" t="s">
        <v>34</v>
      </c>
      <c r="O12" s="53"/>
      <c r="P12" s="54" t="b">
        <v>0</v>
      </c>
      <c r="Q12" s="55" t="str" cm="1">
        <f t="array" ref="Q12">IF(P12=cst_ignore_VRAI,cst_ignore,IF(COUNTA(F12,I12,L12,O12)&gt;1,cst_ERR,CONCATENATE(F12,I12,L12,O12)))</f>
        <v/>
      </c>
    </row>
    <row r="13" spans="1:21" s="56" customFormat="1" ht="75" customHeight="1" thickBot="1" x14ac:dyDescent="0.25">
      <c r="A13" s="65"/>
      <c r="B13" s="66" t="s">
        <v>43</v>
      </c>
      <c r="C13" s="67" t="s">
        <v>44</v>
      </c>
      <c r="D13" s="68" t="s">
        <v>30</v>
      </c>
      <c r="E13" s="69" t="s">
        <v>31</v>
      </c>
      <c r="F13" s="70"/>
      <c r="G13" s="71" t="s">
        <v>30</v>
      </c>
      <c r="H13" s="72" t="s">
        <v>32</v>
      </c>
      <c r="I13" s="73"/>
      <c r="J13" s="74" t="s">
        <v>30</v>
      </c>
      <c r="K13" s="75" t="s">
        <v>33</v>
      </c>
      <c r="L13" s="76"/>
      <c r="M13" s="77" t="s">
        <v>30</v>
      </c>
      <c r="N13" s="78" t="s">
        <v>34</v>
      </c>
      <c r="O13" s="79"/>
      <c r="P13" s="80" t="b">
        <v>1</v>
      </c>
      <c r="Q13" s="81" t="str" cm="1">
        <f t="array" ref="Q13">IF(P13=cst_ignore_VRAI,cst_ignore,IF(COUNTA(F13,I13,L13,O13)&gt;1,cst_ERR,CONCATENATE(F13,I13,L13,O13)))</f>
        <v>Ignoré</v>
      </c>
    </row>
    <row r="14" spans="1:21" s="6" customFormat="1" ht="25.15" customHeight="1" thickTop="1" x14ac:dyDescent="0.25">
      <c r="A14" s="82" t="s">
        <v>45</v>
      </c>
      <c r="L14" s="19"/>
      <c r="M14" s="19"/>
      <c r="N14" s="83"/>
      <c r="O14" s="84" t="s">
        <v>46</v>
      </c>
      <c r="P14" s="85"/>
      <c r="Q14" s="86"/>
    </row>
    <row r="15" spans="1:21" s="6" customFormat="1" ht="30" customHeight="1" x14ac:dyDescent="0.25">
      <c r="A15" s="87" t="s">
        <v>47</v>
      </c>
      <c r="B15" s="88"/>
      <c r="C15" s="88"/>
      <c r="D15" s="88"/>
      <c r="E15" s="88"/>
      <c r="F15" s="88"/>
      <c r="G15" s="88"/>
      <c r="H15" s="88"/>
      <c r="J15" s="89" t="s">
        <v>48</v>
      </c>
      <c r="K15" s="89"/>
      <c r="L15" s="90"/>
      <c r="M15" s="90"/>
      <c r="N15" s="90"/>
      <c r="O15" s="84"/>
      <c r="P15" s="85"/>
    </row>
    <row r="16" spans="1:21" s="6" customFormat="1" ht="30" customHeight="1" x14ac:dyDescent="0.25">
      <c r="A16" s="87" t="s">
        <v>49</v>
      </c>
      <c r="B16" s="88"/>
      <c r="C16" s="88"/>
      <c r="D16" s="88"/>
      <c r="E16" s="88"/>
      <c r="F16" s="88"/>
      <c r="G16" s="88"/>
      <c r="H16" s="88"/>
      <c r="J16" s="91" t="s">
        <v>50</v>
      </c>
      <c r="K16" s="91"/>
      <c r="L16" s="92"/>
      <c r="M16" s="92"/>
      <c r="N16" s="92"/>
      <c r="O16" s="93"/>
      <c r="P16" s="93"/>
      <c r="Q16" s="94"/>
    </row>
    <row r="17" spans="1:17" s="6" customFormat="1" ht="30" customHeight="1" thickBot="1" x14ac:dyDescent="0.3">
      <c r="A17" s="87"/>
      <c r="B17" s="88"/>
      <c r="C17" s="88"/>
      <c r="D17" s="88"/>
      <c r="E17" s="88"/>
      <c r="F17" s="88"/>
      <c r="G17" s="88"/>
      <c r="H17" s="88"/>
      <c r="K17" s="7" t="s">
        <v>51</v>
      </c>
      <c r="L17" s="92"/>
      <c r="M17" s="92"/>
      <c r="N17" s="92"/>
      <c r="Q17" s="95"/>
    </row>
    <row r="18" spans="1:17" s="6" customFormat="1" ht="30" customHeight="1" thickBot="1" x14ac:dyDescent="0.3">
      <c r="A18" s="87"/>
      <c r="B18" s="88"/>
      <c r="C18" s="88"/>
      <c r="D18" s="88"/>
      <c r="E18" s="88"/>
      <c r="F18" s="88"/>
      <c r="G18" s="88"/>
      <c r="H18" s="88"/>
      <c r="N18" s="6" t="s">
        <v>52</v>
      </c>
      <c r="Q18" s="96" t="str">
        <f>IF(COUNTIF(Q6:Q13,cst_ERR)&gt;0,cst_ERR,IF(COUNTIF(Q6:Q13,cst_NA)&gt;0,cst_NA,IF(COUNTIF(Q6:Q13,cst_PA)&gt;0,cst_PA,IF(COUNTIF(Q6:Q13,cst_A)&gt;=COUNTIF(Q6:Q13,cst_LA),IF(COUNTIF(Q6:Q13,cst_A)=0,"",cst_A),cst_LA))))</f>
        <v/>
      </c>
    </row>
    <row r="19" spans="1:17" ht="20.25" hidden="1" x14ac:dyDescent="0.3">
      <c r="K19" s="98"/>
      <c r="L19" s="98"/>
      <c r="M19" s="98"/>
    </row>
    <row r="20" spans="1:17" x14ac:dyDescent="0.2"/>
    <row r="22" spans="1:17" ht="15" hidden="1" x14ac:dyDescent="0.25">
      <c r="A22" s="99" t="s">
        <v>53</v>
      </c>
    </row>
    <row r="23" spans="1:17" hidden="1" x14ac:dyDescent="0.2">
      <c r="A23" s="100">
        <v>1</v>
      </c>
    </row>
    <row r="24" spans="1:17" hidden="1" x14ac:dyDescent="0.2">
      <c r="A24" s="100">
        <v>1.5</v>
      </c>
    </row>
    <row r="25" spans="1:17" hidden="1" x14ac:dyDescent="0.2">
      <c r="A25" s="100">
        <v>2</v>
      </c>
    </row>
    <row r="26" spans="1:17" hidden="1" x14ac:dyDescent="0.2">
      <c r="A26" s="101">
        <v>2.5</v>
      </c>
    </row>
    <row r="27" spans="1:17" hidden="1" x14ac:dyDescent="0.2">
      <c r="A27" s="101">
        <v>3</v>
      </c>
    </row>
    <row r="28" spans="1:17" hidden="1" x14ac:dyDescent="0.2">
      <c r="A28" s="101">
        <v>3.5</v>
      </c>
    </row>
    <row r="29" spans="1:17" hidden="1" x14ac:dyDescent="0.2">
      <c r="A29" s="102">
        <v>4</v>
      </c>
    </row>
    <row r="30" spans="1:17" hidden="1" x14ac:dyDescent="0.2">
      <c r="A30" s="102">
        <v>4.5</v>
      </c>
    </row>
    <row r="31" spans="1:17" hidden="1" x14ac:dyDescent="0.2">
      <c r="A31" s="102">
        <v>5</v>
      </c>
    </row>
    <row r="32" spans="1:17" hidden="1" x14ac:dyDescent="0.2">
      <c r="A32" s="103">
        <v>5.5</v>
      </c>
    </row>
    <row r="33" spans="1:1" hidden="1" x14ac:dyDescent="0.2">
      <c r="A33" s="103">
        <v>6</v>
      </c>
    </row>
  </sheetData>
  <sheetProtection sheet="1" objects="1" scenarios="1" selectLockedCells="1"/>
  <protectedRanges>
    <protectedRange sqref="D6:Q13 L15:L17 A15:H18" name="Cellules modifiables_8"/>
  </protectedRanges>
  <mergeCells count="18">
    <mergeCell ref="A17:H17"/>
    <mergeCell ref="L17:N17"/>
    <mergeCell ref="A18:H18"/>
    <mergeCell ref="K19:M19"/>
    <mergeCell ref="O14:O15"/>
    <mergeCell ref="A15:H15"/>
    <mergeCell ref="J15:K15"/>
    <mergeCell ref="L15:N15"/>
    <mergeCell ref="A16:H16"/>
    <mergeCell ref="J16:K16"/>
    <mergeCell ref="L16:N16"/>
    <mergeCell ref="D5:F5"/>
    <mergeCell ref="G5:I5"/>
    <mergeCell ref="J5:L5"/>
    <mergeCell ref="M5:O5"/>
    <mergeCell ref="A6:A13"/>
    <mergeCell ref="B6:B9"/>
    <mergeCell ref="B10:B12"/>
  </mergeCells>
  <conditionalFormatting sqref="Q18">
    <cfRule type="cellIs" dxfId="47" priority="1" operator="equal">
      <formula>cst_LA</formula>
    </cfRule>
    <cfRule type="cellIs" dxfId="46" priority="2" operator="equal">
      <formula>cst_A</formula>
    </cfRule>
    <cfRule type="cellIs" dxfId="45" priority="3" operator="equal">
      <formula>cst_PA</formula>
    </cfRule>
    <cfRule type="cellIs" dxfId="44" priority="10" operator="equal">
      <formula>cst_NA</formula>
    </cfRule>
    <cfRule type="cellIs" dxfId="43" priority="11" operator="equal">
      <formula>cst_ERR</formula>
    </cfRule>
  </conditionalFormatting>
  <conditionalFormatting sqref="C6:Q13">
    <cfRule type="expression" dxfId="42" priority="4" stopIfTrue="1">
      <formula>IF($Q6=cst_ignore,"VRAI","FAUX")</formula>
    </cfRule>
  </conditionalFormatting>
  <conditionalFormatting sqref="Q6:Q13">
    <cfRule type="expression" dxfId="41" priority="5">
      <formula>IF($Q6=cst_LA,"VRAI","FAUX")</formula>
    </cfRule>
    <cfRule type="expression" dxfId="40" priority="9">
      <formula>IF($Q6=cst_ERR,"VRAI","FAUX")</formula>
    </cfRule>
  </conditionalFormatting>
  <conditionalFormatting sqref="Q6:Q13">
    <cfRule type="expression" dxfId="39" priority="6">
      <formula>IF($Q6=cst_A,"VRAI","FAUX")</formula>
    </cfRule>
    <cfRule type="expression" dxfId="38" priority="7">
      <formula>IF($Q6=cst_PA,"VRAI","FAUX")</formula>
    </cfRule>
    <cfRule type="expression" dxfId="37" priority="8">
      <formula>IF($Q6=cst_NA,"VRAI","FAUX")</formula>
    </cfRule>
  </conditionalFormatting>
  <conditionalFormatting sqref="C13:Q13">
    <cfRule type="expression" dxfId="36" priority="12" stopIfTrue="1">
      <formula>IF($Q13=$T$1,"VRAI","FAUX")</formula>
    </cfRule>
  </conditionalFormatting>
  <dataValidations count="5">
    <dataValidation type="list" allowBlank="1" showInputMessage="1" showErrorMessage="1" sqref="F6:F13" xr:uid="{70AA37A1-72DB-4F44-8AE2-963B7251613B}">
      <formula1>$S$2</formula1>
    </dataValidation>
    <dataValidation type="list" allowBlank="1" showInputMessage="1" showErrorMessage="1" sqref="I6:I13" xr:uid="{2BF64BCC-D71C-4C55-B9B2-24AABF18B278}">
      <formula1>$S$3</formula1>
    </dataValidation>
    <dataValidation type="list" allowBlank="1" showInputMessage="1" showErrorMessage="1" sqref="L6:L13" xr:uid="{A1733A58-B683-4A7D-B6B6-C5AC8199AE82}">
      <formula1>$S$4</formula1>
    </dataValidation>
    <dataValidation type="list" allowBlank="1" showInputMessage="1" showErrorMessage="1" sqref="O6:O13" xr:uid="{A1808B11-2E9D-421D-AF2C-96A87C620C6A}">
      <formula1>$S$5</formula1>
    </dataValidation>
    <dataValidation type="list" allowBlank="1" showInputMessage="1" showErrorMessage="1" sqref="P6:P13" xr:uid="{ED2DBD1C-7D3A-4143-8454-02724D598469}">
      <formula1>$T$2:$T$3</formula1>
    </dataValidation>
  </dataValidations>
  <printOptions horizontalCentered="1" verticalCentered="1"/>
  <pageMargins left="0.27559055118110237" right="0.27559055118110237" top="0.39370078740157483" bottom="0.39370078740157483" header="0.19685039370078741" footer="0.19685039370078741"/>
  <pageSetup paperSize="9" scale="60" orientation="landscape" r:id="rId1"/>
  <headerFooter alignWithMargins="0">
    <oddHeader>&amp;L&amp;"ETML L,Normal"ETML&amp;R&amp;G</oddHeader>
    <oddFooter>&amp;L&amp;8&amp;D&amp;C&amp;8&amp;F  -  &amp;A&amp;R&amp;8Page &amp;P/&amp;N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B6E72-64D0-4CA1-954A-C60471183C81}">
  <sheetPr>
    <pageSetUpPr fitToPage="1"/>
  </sheetPr>
  <dimension ref="A1:U33"/>
  <sheetViews>
    <sheetView showGridLines="0" zoomScale="70" zoomScaleNormal="70" workbookViewId="0">
      <selection activeCell="D13" sqref="D13"/>
    </sheetView>
  </sheetViews>
  <sheetFormatPr baseColWidth="10" defaultColWidth="12.85546875" defaultRowHeight="12.75" customHeight="1" zeroHeight="1" x14ac:dyDescent="0.2"/>
  <cols>
    <col min="1" max="1" width="7.85546875" style="97" customWidth="1"/>
    <col min="2" max="2" width="11" style="97" customWidth="1"/>
    <col min="3" max="3" width="49.5703125" style="97" customWidth="1"/>
    <col min="4" max="4" width="7.7109375" style="97" customWidth="1"/>
    <col min="5" max="5" width="15.7109375" style="97" customWidth="1"/>
    <col min="6" max="7" width="7.7109375" style="97" customWidth="1"/>
    <col min="8" max="8" width="15.7109375" style="97" customWidth="1"/>
    <col min="9" max="10" width="7.7109375" style="97" customWidth="1"/>
    <col min="11" max="11" width="15.7109375" style="97" customWidth="1"/>
    <col min="12" max="13" width="7.7109375" style="97" customWidth="1"/>
    <col min="14" max="14" width="15.7109375" style="97" customWidth="1"/>
    <col min="15" max="16" width="7.7109375" style="97" customWidth="1"/>
    <col min="17" max="17" width="11.140625" style="97" bestFit="1" customWidth="1"/>
    <col min="18" max="18" width="12.85546875" style="97"/>
    <col min="19" max="19" width="25.42578125" style="97" hidden="1" customWidth="1"/>
    <col min="20" max="20" width="12.85546875" style="97" hidden="1" customWidth="1"/>
    <col min="21" max="21" width="10.5703125" style="97" bestFit="1" customWidth="1"/>
    <col min="22" max="16384" width="12.85546875" style="97"/>
  </cols>
  <sheetData>
    <row r="1" spans="1:21" s="2" customFormat="1" ht="30" customHeight="1" thickBot="1" x14ac:dyDescent="0.55000000000000004">
      <c r="A1" s="1" t="s">
        <v>3</v>
      </c>
      <c r="Q1" s="3"/>
      <c r="S1" s="4" t="s">
        <v>4</v>
      </c>
      <c r="T1" s="4" t="s">
        <v>5</v>
      </c>
    </row>
    <row r="2" spans="1:21" s="6" customFormat="1" ht="19.899999999999999" customHeight="1" thickTop="1" x14ac:dyDescent="0.25">
      <c r="A2" s="5" t="s">
        <v>6</v>
      </c>
      <c r="D2" s="7" t="s">
        <v>7</v>
      </c>
      <c r="E2" s="8" t="s">
        <v>8</v>
      </c>
      <c r="F2" s="9"/>
      <c r="G2" s="9"/>
      <c r="H2" s="10"/>
      <c r="I2" s="7" t="s">
        <v>9</v>
      </c>
      <c r="J2" s="8" t="s">
        <v>10</v>
      </c>
      <c r="K2" s="9"/>
      <c r="L2" s="9"/>
      <c r="M2" s="9"/>
      <c r="N2" s="10"/>
      <c r="O2" s="10"/>
      <c r="P2" s="10"/>
      <c r="Q2" s="10"/>
      <c r="S2" s="11" t="s">
        <v>11</v>
      </c>
      <c r="T2" s="11" t="b">
        <v>1</v>
      </c>
    </row>
    <row r="3" spans="1:21" s="6" customFormat="1" ht="19.899999999999999" customHeight="1" x14ac:dyDescent="0.25">
      <c r="A3" s="12"/>
      <c r="B3" s="13"/>
      <c r="D3" s="14" t="s">
        <v>12</v>
      </c>
      <c r="E3" s="15" t="s">
        <v>13</v>
      </c>
      <c r="F3" s="16"/>
      <c r="G3" s="16"/>
      <c r="H3" s="10"/>
      <c r="I3" s="14" t="s">
        <v>14</v>
      </c>
      <c r="J3" s="15">
        <v>10</v>
      </c>
      <c r="K3" s="17"/>
      <c r="L3" s="16"/>
      <c r="M3" s="16"/>
      <c r="N3" s="10"/>
      <c r="O3" s="10"/>
      <c r="P3" s="10"/>
      <c r="Q3" s="10"/>
      <c r="S3" s="18" t="s">
        <v>15</v>
      </c>
      <c r="T3" s="18" t="b">
        <v>0</v>
      </c>
    </row>
    <row r="4" spans="1:21" s="19" customFormat="1" ht="19.899999999999999" customHeight="1" thickBot="1" x14ac:dyDescent="0.3">
      <c r="A4" s="12"/>
      <c r="B4" s="13"/>
      <c r="D4" s="7" t="s">
        <v>16</v>
      </c>
      <c r="E4" s="20" t="s">
        <v>17</v>
      </c>
      <c r="F4" s="21"/>
      <c r="G4" s="21"/>
      <c r="H4" s="22"/>
      <c r="I4" s="14" t="s">
        <v>18</v>
      </c>
      <c r="J4" s="23" t="s">
        <v>19</v>
      </c>
      <c r="K4" s="24"/>
      <c r="L4" s="21"/>
      <c r="M4" s="21"/>
      <c r="N4" s="25"/>
      <c r="O4" s="25"/>
      <c r="P4" s="25"/>
      <c r="Q4" s="25"/>
      <c r="S4" s="26" t="s">
        <v>20</v>
      </c>
      <c r="T4" s="27"/>
      <c r="U4" s="27"/>
    </row>
    <row r="5" spans="1:21" s="6" customFormat="1" ht="25.15" customHeight="1" thickTop="1" thickBot="1" x14ac:dyDescent="0.3">
      <c r="C5" s="28"/>
      <c r="D5" s="29" t="s">
        <v>21</v>
      </c>
      <c r="E5" s="30"/>
      <c r="F5" s="30"/>
      <c r="G5" s="31" t="s">
        <v>22</v>
      </c>
      <c r="H5" s="32"/>
      <c r="I5" s="32"/>
      <c r="J5" s="33" t="s">
        <v>23</v>
      </c>
      <c r="K5" s="34"/>
      <c r="L5" s="34"/>
      <c r="M5" s="35" t="s">
        <v>24</v>
      </c>
      <c r="N5" s="36"/>
      <c r="O5" s="36"/>
      <c r="P5" s="37" t="s">
        <v>5</v>
      </c>
      <c r="Q5" s="38" t="s">
        <v>25</v>
      </c>
      <c r="S5" s="18" t="s">
        <v>26</v>
      </c>
      <c r="T5" s="27"/>
      <c r="U5" s="27"/>
    </row>
    <row r="6" spans="1:21" s="56" customFormat="1" ht="75" customHeight="1" thickTop="1" x14ac:dyDescent="0.25">
      <c r="A6" s="39" t="s">
        <v>27</v>
      </c>
      <c r="B6" s="40" t="s">
        <v>28</v>
      </c>
      <c r="C6" s="41" t="s">
        <v>29</v>
      </c>
      <c r="D6" s="42" t="s">
        <v>30</v>
      </c>
      <c r="E6" s="43" t="s">
        <v>31</v>
      </c>
      <c r="F6" s="44"/>
      <c r="G6" s="45" t="s">
        <v>30</v>
      </c>
      <c r="H6" s="46" t="s">
        <v>32</v>
      </c>
      <c r="I6" s="47"/>
      <c r="J6" s="48" t="s">
        <v>30</v>
      </c>
      <c r="K6" s="49" t="s">
        <v>33</v>
      </c>
      <c r="L6" s="50"/>
      <c r="M6" s="51" t="s">
        <v>30</v>
      </c>
      <c r="N6" s="52" t="s">
        <v>34</v>
      </c>
      <c r="O6" s="53"/>
      <c r="P6" s="54" t="b">
        <v>0</v>
      </c>
      <c r="Q6" s="55" t="str" cm="1">
        <f t="array" ref="Q6">IF(P6=cst_ignore_VRAI,cst_ignore,IF(COUNTA(F6,I6,L6,O6)&gt;1,cst_ERR,CONCATENATE(F6,I6,L6,O6)))</f>
        <v/>
      </c>
      <c r="S6" s="26" t="s">
        <v>35</v>
      </c>
      <c r="T6" s="27"/>
      <c r="U6" s="27"/>
    </row>
    <row r="7" spans="1:21" s="56" customFormat="1" ht="75" customHeight="1" x14ac:dyDescent="0.2">
      <c r="A7" s="57"/>
      <c r="B7" s="58"/>
      <c r="C7" s="59" t="s">
        <v>36</v>
      </c>
      <c r="D7" s="42" t="s">
        <v>30</v>
      </c>
      <c r="E7" s="43" t="s">
        <v>31</v>
      </c>
      <c r="F7" s="44"/>
      <c r="G7" s="45" t="s">
        <v>30</v>
      </c>
      <c r="H7" s="46" t="s">
        <v>32</v>
      </c>
      <c r="I7" s="47"/>
      <c r="J7" s="48" t="s">
        <v>30</v>
      </c>
      <c r="K7" s="49" t="s">
        <v>33</v>
      </c>
      <c r="L7" s="50"/>
      <c r="M7" s="51" t="s">
        <v>30</v>
      </c>
      <c r="N7" s="52" t="s">
        <v>34</v>
      </c>
      <c r="O7" s="53"/>
      <c r="P7" s="54" t="b">
        <v>0</v>
      </c>
      <c r="Q7" s="55" t="str" cm="1">
        <f t="array" ref="Q7">IF(P7=cst_ignore_VRAI,cst_ignore,IF(COUNTA(F7,I7,L7,O7)&gt;1,cst_ERR,CONCATENATE(F7,I7,L7,O7)))</f>
        <v/>
      </c>
    </row>
    <row r="8" spans="1:21" s="56" customFormat="1" ht="75" customHeight="1" x14ac:dyDescent="0.2">
      <c r="A8" s="57"/>
      <c r="B8" s="58"/>
      <c r="C8" s="59" t="s">
        <v>37</v>
      </c>
      <c r="D8" s="42" t="s">
        <v>30</v>
      </c>
      <c r="E8" s="43" t="s">
        <v>31</v>
      </c>
      <c r="F8" s="44"/>
      <c r="G8" s="45" t="s">
        <v>30</v>
      </c>
      <c r="H8" s="46" t="s">
        <v>32</v>
      </c>
      <c r="I8" s="47"/>
      <c r="J8" s="48" t="s">
        <v>30</v>
      </c>
      <c r="K8" s="49" t="s">
        <v>33</v>
      </c>
      <c r="L8" s="50"/>
      <c r="M8" s="51" t="s">
        <v>30</v>
      </c>
      <c r="N8" s="52" t="s">
        <v>34</v>
      </c>
      <c r="O8" s="53"/>
      <c r="P8" s="54" t="b">
        <v>0</v>
      </c>
      <c r="Q8" s="55" t="str" cm="1">
        <f t="array" ref="Q8">IF(P8=cst_ignore_VRAI,cst_ignore,IF(COUNTA(F8,I8,L8,O8)&gt;1,cst_ERR,CONCATENATE(F8,I8,L8,O8)))</f>
        <v/>
      </c>
    </row>
    <row r="9" spans="1:21" s="56" customFormat="1" ht="75" customHeight="1" x14ac:dyDescent="0.2">
      <c r="A9" s="57"/>
      <c r="B9" s="60"/>
      <c r="C9" s="59" t="s">
        <v>38</v>
      </c>
      <c r="D9" s="42" t="s">
        <v>30</v>
      </c>
      <c r="E9" s="43" t="s">
        <v>31</v>
      </c>
      <c r="F9" s="44"/>
      <c r="G9" s="45" t="s">
        <v>30</v>
      </c>
      <c r="H9" s="46" t="s">
        <v>32</v>
      </c>
      <c r="I9" s="47"/>
      <c r="J9" s="48" t="s">
        <v>30</v>
      </c>
      <c r="K9" s="49" t="s">
        <v>33</v>
      </c>
      <c r="L9" s="50"/>
      <c r="M9" s="51" t="s">
        <v>30</v>
      </c>
      <c r="N9" s="52" t="s">
        <v>34</v>
      </c>
      <c r="O9" s="53"/>
      <c r="P9" s="54" t="b">
        <v>0</v>
      </c>
      <c r="Q9" s="55" t="str" cm="1">
        <f t="array" ref="Q9">IF(P9=cst_ignore_VRAI,cst_ignore,IF(COUNTA(F9,I9,L9,O9)&gt;1,cst_ERR,CONCATENATE(F9,I9,L9,O9)))</f>
        <v/>
      </c>
    </row>
    <row r="10" spans="1:21" s="56" customFormat="1" ht="75" customHeight="1" x14ac:dyDescent="0.2">
      <c r="A10" s="57"/>
      <c r="B10" s="61" t="s">
        <v>39</v>
      </c>
      <c r="C10" s="59" t="s">
        <v>40</v>
      </c>
      <c r="D10" s="42" t="s">
        <v>30</v>
      </c>
      <c r="E10" s="43" t="s">
        <v>31</v>
      </c>
      <c r="F10" s="44"/>
      <c r="G10" s="45" t="s">
        <v>30</v>
      </c>
      <c r="H10" s="46" t="s">
        <v>32</v>
      </c>
      <c r="I10" s="47"/>
      <c r="J10" s="48" t="s">
        <v>30</v>
      </c>
      <c r="K10" s="49" t="s">
        <v>33</v>
      </c>
      <c r="L10" s="50"/>
      <c r="M10" s="51" t="s">
        <v>30</v>
      </c>
      <c r="N10" s="52" t="s">
        <v>34</v>
      </c>
      <c r="O10" s="53"/>
      <c r="P10" s="54" t="b">
        <v>0</v>
      </c>
      <c r="Q10" s="55" t="str" cm="1">
        <f t="array" ref="Q10">IF(P10=cst_ignore_VRAI,cst_ignore,IF(COUNTA(F10,I10,L10,O10)&gt;1,cst_ERR,CONCATENATE(F10,I10,L10,O10)))</f>
        <v/>
      </c>
    </row>
    <row r="11" spans="1:21" s="56" customFormat="1" ht="75" customHeight="1" x14ac:dyDescent="0.2">
      <c r="A11" s="57"/>
      <c r="B11" s="62"/>
      <c r="C11" s="59" t="s">
        <v>41</v>
      </c>
      <c r="D11" s="42" t="s">
        <v>30</v>
      </c>
      <c r="E11" s="43" t="s">
        <v>31</v>
      </c>
      <c r="F11" s="44"/>
      <c r="G11" s="45" t="s">
        <v>30</v>
      </c>
      <c r="H11" s="46" t="s">
        <v>32</v>
      </c>
      <c r="I11" s="47"/>
      <c r="J11" s="48" t="s">
        <v>30</v>
      </c>
      <c r="K11" s="49" t="s">
        <v>33</v>
      </c>
      <c r="L11" s="50"/>
      <c r="M11" s="51" t="s">
        <v>30</v>
      </c>
      <c r="N11" s="52" t="s">
        <v>34</v>
      </c>
      <c r="O11" s="53"/>
      <c r="P11" s="54" t="b">
        <v>0</v>
      </c>
      <c r="Q11" s="55" t="str" cm="1">
        <f t="array" ref="Q11">IF(P11=cst_ignore_VRAI,cst_ignore,IF(COUNTA(F11,I11,L11,O11)&gt;1,cst_ERR,CONCATENATE(F11,I11,L11,O11)))</f>
        <v/>
      </c>
      <c r="R11" s="63"/>
    </row>
    <row r="12" spans="1:21" s="56" customFormat="1" ht="75" customHeight="1" x14ac:dyDescent="0.2">
      <c r="A12" s="57"/>
      <c r="B12" s="64"/>
      <c r="C12" s="59" t="s">
        <v>42</v>
      </c>
      <c r="D12" s="42" t="s">
        <v>30</v>
      </c>
      <c r="E12" s="43" t="s">
        <v>31</v>
      </c>
      <c r="F12" s="44"/>
      <c r="G12" s="45" t="s">
        <v>30</v>
      </c>
      <c r="H12" s="46" t="s">
        <v>32</v>
      </c>
      <c r="I12" s="47"/>
      <c r="J12" s="48" t="s">
        <v>30</v>
      </c>
      <c r="K12" s="49" t="s">
        <v>33</v>
      </c>
      <c r="L12" s="50"/>
      <c r="M12" s="51" t="s">
        <v>30</v>
      </c>
      <c r="N12" s="52" t="s">
        <v>34</v>
      </c>
      <c r="O12" s="53"/>
      <c r="P12" s="54" t="b">
        <v>0</v>
      </c>
      <c r="Q12" s="55" t="str" cm="1">
        <f t="array" ref="Q12">IF(P12=cst_ignore_VRAI,cst_ignore,IF(COUNTA(F12,I12,L12,O12)&gt;1,cst_ERR,CONCATENATE(F12,I12,L12,O12)))</f>
        <v/>
      </c>
    </row>
    <row r="13" spans="1:21" s="56" customFormat="1" ht="75" customHeight="1" thickBot="1" x14ac:dyDescent="0.25">
      <c r="A13" s="65"/>
      <c r="B13" s="66" t="s">
        <v>43</v>
      </c>
      <c r="C13" s="67" t="s">
        <v>44</v>
      </c>
      <c r="D13" s="68" t="s">
        <v>30</v>
      </c>
      <c r="E13" s="69" t="s">
        <v>31</v>
      </c>
      <c r="F13" s="70"/>
      <c r="G13" s="71" t="s">
        <v>30</v>
      </c>
      <c r="H13" s="72" t="s">
        <v>32</v>
      </c>
      <c r="I13" s="73"/>
      <c r="J13" s="74" t="s">
        <v>30</v>
      </c>
      <c r="K13" s="75" t="s">
        <v>33</v>
      </c>
      <c r="L13" s="76"/>
      <c r="M13" s="77" t="s">
        <v>30</v>
      </c>
      <c r="N13" s="78" t="s">
        <v>34</v>
      </c>
      <c r="O13" s="79"/>
      <c r="P13" s="80" t="b">
        <v>1</v>
      </c>
      <c r="Q13" s="81" t="str" cm="1">
        <f t="array" ref="Q13">IF(P13=cst_ignore_VRAI,cst_ignore,IF(COUNTA(F13,I13,L13,O13)&gt;1,cst_ERR,CONCATENATE(F13,I13,L13,O13)))</f>
        <v>Ignoré</v>
      </c>
    </row>
    <row r="14" spans="1:21" s="6" customFormat="1" ht="25.15" customHeight="1" thickTop="1" x14ac:dyDescent="0.25">
      <c r="A14" s="82" t="s">
        <v>45</v>
      </c>
      <c r="L14" s="19"/>
      <c r="M14" s="19"/>
      <c r="N14" s="83"/>
      <c r="O14" s="84" t="s">
        <v>46</v>
      </c>
      <c r="P14" s="85"/>
      <c r="Q14" s="86"/>
    </row>
    <row r="15" spans="1:21" s="6" customFormat="1" ht="30" customHeight="1" x14ac:dyDescent="0.25">
      <c r="A15" s="87" t="s">
        <v>47</v>
      </c>
      <c r="B15" s="88"/>
      <c r="C15" s="88"/>
      <c r="D15" s="88"/>
      <c r="E15" s="88"/>
      <c r="F15" s="88"/>
      <c r="G15" s="88"/>
      <c r="H15" s="88"/>
      <c r="J15" s="89" t="s">
        <v>48</v>
      </c>
      <c r="K15" s="89"/>
      <c r="L15" s="90"/>
      <c r="M15" s="90"/>
      <c r="N15" s="90"/>
      <c r="O15" s="84"/>
      <c r="P15" s="85"/>
    </row>
    <row r="16" spans="1:21" s="6" customFormat="1" ht="30" customHeight="1" x14ac:dyDescent="0.25">
      <c r="A16" s="87" t="s">
        <v>49</v>
      </c>
      <c r="B16" s="88"/>
      <c r="C16" s="88"/>
      <c r="D16" s="88"/>
      <c r="E16" s="88"/>
      <c r="F16" s="88"/>
      <c r="G16" s="88"/>
      <c r="H16" s="88"/>
      <c r="J16" s="91" t="s">
        <v>50</v>
      </c>
      <c r="K16" s="91"/>
      <c r="L16" s="92"/>
      <c r="M16" s="92"/>
      <c r="N16" s="92"/>
      <c r="O16" s="93"/>
      <c r="P16" s="93"/>
      <c r="Q16" s="94"/>
    </row>
    <row r="17" spans="1:17" s="6" customFormat="1" ht="30" customHeight="1" thickBot="1" x14ac:dyDescent="0.3">
      <c r="A17" s="87"/>
      <c r="B17" s="88"/>
      <c r="C17" s="88"/>
      <c r="D17" s="88"/>
      <c r="E17" s="88"/>
      <c r="F17" s="88"/>
      <c r="G17" s="88"/>
      <c r="H17" s="88"/>
      <c r="K17" s="7" t="s">
        <v>51</v>
      </c>
      <c r="L17" s="92"/>
      <c r="M17" s="92"/>
      <c r="N17" s="92"/>
      <c r="Q17" s="95"/>
    </row>
    <row r="18" spans="1:17" s="6" customFormat="1" ht="30" customHeight="1" thickBot="1" x14ac:dyDescent="0.3">
      <c r="A18" s="87"/>
      <c r="B18" s="88"/>
      <c r="C18" s="88"/>
      <c r="D18" s="88"/>
      <c r="E18" s="88"/>
      <c r="F18" s="88"/>
      <c r="G18" s="88"/>
      <c r="H18" s="88"/>
      <c r="N18" s="6" t="s">
        <v>52</v>
      </c>
      <c r="Q18" s="96" t="str">
        <f>IF(COUNTIF(Q6:Q13,cst_ERR)&gt;0,cst_ERR,IF(COUNTIF(Q6:Q13,cst_NA)&gt;0,cst_NA,IF(COUNTIF(Q6:Q13,cst_PA)&gt;0,cst_PA,IF(COUNTIF(Q6:Q13,cst_A)&gt;=COUNTIF(Q6:Q13,cst_LA),IF(COUNTIF(Q6:Q13,cst_A)=0,"",cst_A),cst_LA))))</f>
        <v/>
      </c>
    </row>
    <row r="19" spans="1:17" ht="20.25" hidden="1" x14ac:dyDescent="0.3">
      <c r="K19" s="98"/>
      <c r="L19" s="98"/>
      <c r="M19" s="98"/>
    </row>
    <row r="20" spans="1:17" x14ac:dyDescent="0.2"/>
    <row r="22" spans="1:17" ht="15" hidden="1" x14ac:dyDescent="0.25">
      <c r="A22" s="99" t="s">
        <v>53</v>
      </c>
    </row>
    <row r="23" spans="1:17" hidden="1" x14ac:dyDescent="0.2">
      <c r="A23" s="100">
        <v>1</v>
      </c>
    </row>
    <row r="24" spans="1:17" hidden="1" x14ac:dyDescent="0.2">
      <c r="A24" s="100">
        <v>1.5</v>
      </c>
    </row>
    <row r="25" spans="1:17" hidden="1" x14ac:dyDescent="0.2">
      <c r="A25" s="100">
        <v>2</v>
      </c>
    </row>
    <row r="26" spans="1:17" hidden="1" x14ac:dyDescent="0.2">
      <c r="A26" s="101">
        <v>2.5</v>
      </c>
    </row>
    <row r="27" spans="1:17" hidden="1" x14ac:dyDescent="0.2">
      <c r="A27" s="101">
        <v>3</v>
      </c>
    </row>
    <row r="28" spans="1:17" hidden="1" x14ac:dyDescent="0.2">
      <c r="A28" s="101">
        <v>3.5</v>
      </c>
    </row>
    <row r="29" spans="1:17" hidden="1" x14ac:dyDescent="0.2">
      <c r="A29" s="102">
        <v>4</v>
      </c>
    </row>
    <row r="30" spans="1:17" hidden="1" x14ac:dyDescent="0.2">
      <c r="A30" s="102">
        <v>4.5</v>
      </c>
    </row>
    <row r="31" spans="1:17" hidden="1" x14ac:dyDescent="0.2">
      <c r="A31" s="102">
        <v>5</v>
      </c>
    </row>
    <row r="32" spans="1:17" hidden="1" x14ac:dyDescent="0.2">
      <c r="A32" s="103">
        <v>5.5</v>
      </c>
    </row>
    <row r="33" spans="1:1" hidden="1" x14ac:dyDescent="0.2">
      <c r="A33" s="103">
        <v>6</v>
      </c>
    </row>
  </sheetData>
  <sheetProtection sheet="1" objects="1" scenarios="1" selectLockedCells="1"/>
  <protectedRanges>
    <protectedRange sqref="D6:Q13 L15:L17 A15:H18" name="Cellules modifiables_8"/>
  </protectedRanges>
  <mergeCells count="18">
    <mergeCell ref="A17:H17"/>
    <mergeCell ref="L17:N17"/>
    <mergeCell ref="A18:H18"/>
    <mergeCell ref="K19:M19"/>
    <mergeCell ref="O14:O15"/>
    <mergeCell ref="A15:H15"/>
    <mergeCell ref="J15:K15"/>
    <mergeCell ref="L15:N15"/>
    <mergeCell ref="A16:H16"/>
    <mergeCell ref="J16:K16"/>
    <mergeCell ref="L16:N16"/>
    <mergeCell ref="D5:F5"/>
    <mergeCell ref="G5:I5"/>
    <mergeCell ref="J5:L5"/>
    <mergeCell ref="M5:O5"/>
    <mergeCell ref="A6:A13"/>
    <mergeCell ref="B6:B9"/>
    <mergeCell ref="B10:B12"/>
  </mergeCells>
  <conditionalFormatting sqref="Q18">
    <cfRule type="cellIs" dxfId="59" priority="1" operator="equal">
      <formula>cst_LA</formula>
    </cfRule>
    <cfRule type="cellIs" dxfId="58" priority="2" operator="equal">
      <formula>cst_A</formula>
    </cfRule>
    <cfRule type="cellIs" dxfId="57" priority="3" operator="equal">
      <formula>cst_PA</formula>
    </cfRule>
    <cfRule type="cellIs" dxfId="56" priority="10" operator="equal">
      <formula>cst_NA</formula>
    </cfRule>
    <cfRule type="cellIs" dxfId="55" priority="11" operator="equal">
      <formula>cst_ERR</formula>
    </cfRule>
  </conditionalFormatting>
  <conditionalFormatting sqref="C6:Q13">
    <cfRule type="expression" dxfId="54" priority="4" stopIfTrue="1">
      <formula>IF($Q6=cst_ignore,"VRAI","FAUX")</formula>
    </cfRule>
  </conditionalFormatting>
  <conditionalFormatting sqref="Q6:Q13">
    <cfRule type="expression" dxfId="53" priority="5">
      <formula>IF($Q6=cst_LA,"VRAI","FAUX")</formula>
    </cfRule>
    <cfRule type="expression" dxfId="52" priority="9">
      <formula>IF($Q6=cst_ERR,"VRAI","FAUX")</formula>
    </cfRule>
  </conditionalFormatting>
  <conditionalFormatting sqref="Q6:Q13">
    <cfRule type="expression" dxfId="51" priority="6">
      <formula>IF($Q6=cst_A,"VRAI","FAUX")</formula>
    </cfRule>
    <cfRule type="expression" dxfId="50" priority="7">
      <formula>IF($Q6=cst_PA,"VRAI","FAUX")</formula>
    </cfRule>
    <cfRule type="expression" dxfId="49" priority="8">
      <formula>IF($Q6=cst_NA,"VRAI","FAUX")</formula>
    </cfRule>
  </conditionalFormatting>
  <conditionalFormatting sqref="C13:Q13">
    <cfRule type="expression" dxfId="48" priority="12" stopIfTrue="1">
      <formula>IF($Q13=$T$1,"VRAI","FAUX")</formula>
    </cfRule>
  </conditionalFormatting>
  <dataValidations count="5">
    <dataValidation type="list" allowBlank="1" showInputMessage="1" showErrorMessage="1" sqref="F6:F13" xr:uid="{9037AB7E-D7BD-42C3-9F5A-D6B6A0584517}">
      <formula1>$S$2</formula1>
    </dataValidation>
    <dataValidation type="list" allowBlank="1" showInputMessage="1" showErrorMessage="1" sqref="I6:I13" xr:uid="{16AFD633-64BB-4394-83EF-9C890A69A8AF}">
      <formula1>$S$3</formula1>
    </dataValidation>
    <dataValidation type="list" allowBlank="1" showInputMessage="1" showErrorMessage="1" sqref="L6:L13" xr:uid="{D4923618-228F-47C9-8308-B46F74CCB442}">
      <formula1>$S$4</formula1>
    </dataValidation>
    <dataValidation type="list" allowBlank="1" showInputMessage="1" showErrorMessage="1" sqref="O6:O13" xr:uid="{010B70C2-3AE4-4AB4-BB39-780278718CAF}">
      <formula1>$S$5</formula1>
    </dataValidation>
    <dataValidation type="list" allowBlank="1" showInputMessage="1" showErrorMessage="1" sqref="P6:P13" xr:uid="{60E4CEDC-DB41-441E-8583-53B846C89D4D}">
      <formula1>$T$2:$T$3</formula1>
    </dataValidation>
  </dataValidations>
  <printOptions horizontalCentered="1" verticalCentered="1"/>
  <pageMargins left="0.27559055118110237" right="0.27559055118110237" top="0.39370078740157483" bottom="0.39370078740157483" header="0.19685039370078741" footer="0.19685039370078741"/>
  <pageSetup paperSize="9" scale="60" orientation="landscape" r:id="rId1"/>
  <headerFooter alignWithMargins="0">
    <oddHeader>&amp;L&amp;"ETML L,Normal"ETML&amp;R&amp;G</oddHeader>
    <oddFooter>&amp;L&amp;8&amp;D&amp;C&amp;8&amp;F  -  &amp;A&amp;R&amp;8Page &amp;P/&amp;N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1"/>
  <sheetViews>
    <sheetView workbookViewId="0">
      <selection activeCell="J5" sqref="J5"/>
    </sheetView>
  </sheetViews>
  <sheetFormatPr baseColWidth="10" defaultColWidth="9.140625" defaultRowHeight="15" x14ac:dyDescent="0.25"/>
  <cols>
    <col min="1" max="1" width="28.140625" customWidth="1"/>
    <col min="2" max="2" width="19.28515625" customWidth="1"/>
    <col min="3" max="3" width="13.42578125" customWidth="1"/>
  </cols>
  <sheetData>
    <row r="1" spans="1:3" x14ac:dyDescent="0.25">
      <c r="A1" t="s">
        <v>0</v>
      </c>
      <c r="B1" t="s">
        <v>1</v>
      </c>
      <c r="C1" t="s">
        <v>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600075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4</xdr:col>
                    <xdr:colOff>9525</xdr:colOff>
                    <xdr:row>6</xdr:row>
                    <xdr:rowOff>190500</xdr:rowOff>
                  </from>
                  <to>
                    <xdr:col>6</xdr:col>
                    <xdr:colOff>600075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xportPDF">
                <anchor moveWithCells="1" sizeWithCells="1">
                  <from>
                    <xdr:col>4</xdr:col>
                    <xdr:colOff>9525</xdr:colOff>
                    <xdr:row>13</xdr:row>
                    <xdr:rowOff>9525</xdr:rowOff>
                  </from>
                  <to>
                    <xdr:col>6</xdr:col>
                    <xdr:colOff>600075</xdr:colOff>
                    <xdr:row>16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80</vt:i4>
      </vt:variant>
    </vt:vector>
  </HeadingPairs>
  <TitlesOfParts>
    <vt:vector size="86" baseType="lpstr">
      <vt:lpstr>Sylvain Philipona</vt:lpstr>
      <vt:lpstr>Sayeh Younes</vt:lpstr>
      <vt:lpstr>Nolan Praz</vt:lpstr>
      <vt:lpstr>Joca Bolli</vt:lpstr>
      <vt:lpstr>Dorian Capelli</vt:lpstr>
      <vt:lpstr>MASTER</vt:lpstr>
      <vt:lpstr>'Joca Bolli'!CLASSE</vt:lpstr>
      <vt:lpstr>'Nolan Praz'!CLASSE</vt:lpstr>
      <vt:lpstr>'Sayeh Younes'!CLASSE</vt:lpstr>
      <vt:lpstr>'Sylvain Philipona'!CLASSE</vt:lpstr>
      <vt:lpstr>CLASSE</vt:lpstr>
      <vt:lpstr>'Joca Bolli'!cst_A</vt:lpstr>
      <vt:lpstr>'Nolan Praz'!cst_A</vt:lpstr>
      <vt:lpstr>'Sayeh Younes'!cst_A</vt:lpstr>
      <vt:lpstr>'Sylvain Philipona'!cst_A</vt:lpstr>
      <vt:lpstr>cst_A</vt:lpstr>
      <vt:lpstr>'Joca Bolli'!cst_ERR</vt:lpstr>
      <vt:lpstr>'Nolan Praz'!cst_ERR</vt:lpstr>
      <vt:lpstr>'Sayeh Younes'!cst_ERR</vt:lpstr>
      <vt:lpstr>'Sylvain Philipona'!cst_ERR</vt:lpstr>
      <vt:lpstr>cst_ERR</vt:lpstr>
      <vt:lpstr>'Joca Bolli'!cst_ignore</vt:lpstr>
      <vt:lpstr>'Nolan Praz'!cst_ignore</vt:lpstr>
      <vt:lpstr>'Sayeh Younes'!cst_ignore</vt:lpstr>
      <vt:lpstr>'Sylvain Philipona'!cst_ignore</vt:lpstr>
      <vt:lpstr>cst_ignore</vt:lpstr>
      <vt:lpstr>'Joca Bolli'!cst_ignore_FAUX</vt:lpstr>
      <vt:lpstr>'Nolan Praz'!cst_ignore_FAUX</vt:lpstr>
      <vt:lpstr>'Sayeh Younes'!cst_ignore_FAUX</vt:lpstr>
      <vt:lpstr>'Sylvain Philipona'!cst_ignore_FAUX</vt:lpstr>
      <vt:lpstr>cst_ignore_FAUX</vt:lpstr>
      <vt:lpstr>'Joca Bolli'!cst_ignore_VRAI</vt:lpstr>
      <vt:lpstr>'Nolan Praz'!cst_ignore_VRAI</vt:lpstr>
      <vt:lpstr>'Sayeh Younes'!cst_ignore_VRAI</vt:lpstr>
      <vt:lpstr>'Sylvain Philipona'!cst_ignore_VRAI</vt:lpstr>
      <vt:lpstr>cst_ignore_VRAI</vt:lpstr>
      <vt:lpstr>'Joca Bolli'!cst_LA</vt:lpstr>
      <vt:lpstr>'Nolan Praz'!cst_LA</vt:lpstr>
      <vt:lpstr>'Sayeh Younes'!cst_LA</vt:lpstr>
      <vt:lpstr>'Sylvain Philipona'!cst_LA</vt:lpstr>
      <vt:lpstr>cst_LA</vt:lpstr>
      <vt:lpstr>'Joca Bolli'!cst_NA</vt:lpstr>
      <vt:lpstr>'Nolan Praz'!cst_NA</vt:lpstr>
      <vt:lpstr>'Sayeh Younes'!cst_NA</vt:lpstr>
      <vt:lpstr>'Sylvain Philipona'!cst_NA</vt:lpstr>
      <vt:lpstr>cst_NA</vt:lpstr>
      <vt:lpstr>'Joca Bolli'!cst_PA</vt:lpstr>
      <vt:lpstr>'Nolan Praz'!cst_PA</vt:lpstr>
      <vt:lpstr>'Sayeh Younes'!cst_PA</vt:lpstr>
      <vt:lpstr>'Sylvain Philipona'!cst_PA</vt:lpstr>
      <vt:lpstr>cst_PA</vt:lpstr>
      <vt:lpstr>'Joca Bolli'!DATES</vt:lpstr>
      <vt:lpstr>'Nolan Praz'!DATES</vt:lpstr>
      <vt:lpstr>'Sayeh Younes'!DATES</vt:lpstr>
      <vt:lpstr>'Sylvain Philipona'!DATES</vt:lpstr>
      <vt:lpstr>DATES</vt:lpstr>
      <vt:lpstr>'Joca Bolli'!FINALNOTE</vt:lpstr>
      <vt:lpstr>'Nolan Praz'!FINALNOTE</vt:lpstr>
      <vt:lpstr>'Sayeh Younes'!FINALNOTE</vt:lpstr>
      <vt:lpstr>'Sylvain Philipona'!FINALNOTE</vt:lpstr>
      <vt:lpstr>FINALNOTE</vt:lpstr>
      <vt:lpstr>'Joca Bolli'!NAME</vt:lpstr>
      <vt:lpstr>'Nolan Praz'!NAME</vt:lpstr>
      <vt:lpstr>'Sayeh Younes'!NAME</vt:lpstr>
      <vt:lpstr>'Sylvain Philipona'!NAME</vt:lpstr>
      <vt:lpstr>NAME</vt:lpstr>
      <vt:lpstr>'Joca Bolli'!NBWEEKS</vt:lpstr>
      <vt:lpstr>'Nolan Praz'!NBWEEKS</vt:lpstr>
      <vt:lpstr>'Sayeh Younes'!NBWEEKS</vt:lpstr>
      <vt:lpstr>'Sylvain Philipona'!NBWEEKS</vt:lpstr>
      <vt:lpstr>NBWEEKS</vt:lpstr>
      <vt:lpstr>'Dorian Capelli'!Print_Area</vt:lpstr>
      <vt:lpstr>'Joca Bolli'!Print_Area</vt:lpstr>
      <vt:lpstr>'Nolan Praz'!Print_Area</vt:lpstr>
      <vt:lpstr>'Sayeh Younes'!Print_Area</vt:lpstr>
      <vt:lpstr>'Sylvain Philipona'!Print_Area</vt:lpstr>
      <vt:lpstr>'Joca Bolli'!PROJECTNAME</vt:lpstr>
      <vt:lpstr>'Nolan Praz'!PROJECTNAME</vt:lpstr>
      <vt:lpstr>'Sayeh Younes'!PROJECTNAME</vt:lpstr>
      <vt:lpstr>'Sylvain Philipona'!PROJECTNAME</vt:lpstr>
      <vt:lpstr>PROJECTNAME</vt:lpstr>
      <vt:lpstr>'Joca Bolli'!TEACHER</vt:lpstr>
      <vt:lpstr>'Nolan Praz'!TEACHER</vt:lpstr>
      <vt:lpstr>'Sayeh Younes'!TEACHER</vt:lpstr>
      <vt:lpstr>'Sylvain Philipona'!TEACHER</vt:lpstr>
      <vt:lpstr>TEACHER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Sylvain Philipona</dc:creator>
  <cp:lastModifiedBy>Sylvain Philipona</cp:lastModifiedBy>
  <dcterms:created xsi:type="dcterms:W3CDTF">2015-06-05T18:19:34Z</dcterms:created>
  <dcterms:modified xsi:type="dcterms:W3CDTF">2023-03-03T10:01:34Z</dcterms:modified>
</cp:coreProperties>
</file>